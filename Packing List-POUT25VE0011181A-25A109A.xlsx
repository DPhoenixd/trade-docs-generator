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<sst xmlns="http://schemas.openxmlformats.org/spreadsheetml/2006/main" count="149" uniqueCount="60">
  <si>
    <t>GUANGDONG EVERSHINE GROUP CO.,LTD</t>
  </si>
  <si>
    <t>C-1052, QingFang Cheng, HaiZhu Qu, GuangZhou City, China.</t>
  </si>
  <si>
    <t>DETAILED PACKING LIST</t>
  </si>
  <si>
    <t xml:space="preserve">TO: </t>
  </si>
  <si>
    <t>QTNP APPRELS JSC</t>
  </si>
  <si>
    <t>P/I NO:D2025122601</t>
  </si>
  <si>
    <t>Color</t>
  </si>
  <si>
    <t>Net Weight
/KG</t>
  </si>
  <si>
    <t>PRICES/KG
(USD)FOB</t>
  </si>
  <si>
    <t>Total amount</t>
  </si>
  <si>
    <t>Advance payment</t>
  </si>
  <si>
    <t>Remaining payable
 amount</t>
  </si>
  <si>
    <t>DESCRIPTION:</t>
  </si>
  <si>
    <t>ITEM: 25A109A
COMP:  61.5%Acrylic 28.3%Viscose 5.5%Elastane 4.7%Cashmere                         
WEIGHT :270G        WIDTH :180cm</t>
  </si>
  <si>
    <t>DATE: 2026/03/31</t>
  </si>
  <si>
    <t>TAUPE/#3</t>
  </si>
  <si>
    <t>THYME/#4</t>
  </si>
  <si>
    <t>REGION</t>
  </si>
  <si>
    <t>NAVY/#0</t>
  </si>
  <si>
    <t>COLOR:</t>
  </si>
  <si>
    <t>LOT</t>
  </si>
  <si>
    <t>ROLL</t>
  </si>
  <si>
    <t>Meter</t>
  </si>
  <si>
    <t>Yard</t>
  </si>
  <si>
    <t>STEEL/#5</t>
  </si>
  <si>
    <t>TAUPE /#3</t>
  </si>
  <si>
    <t>LDA2603-0033</t>
  </si>
  <si>
    <t>THYME
 /#4</t>
  </si>
  <si>
    <t>LDA2603-0034B1</t>
  </si>
  <si>
    <t>NAVY
/#0</t>
  </si>
  <si>
    <t>LDA2603-0032</t>
  </si>
  <si>
    <t>STEEL
/#5</t>
  </si>
  <si>
    <t>LDA2603-0035</t>
  </si>
  <si>
    <r>
      <rPr>
        <sz val="14"/>
        <color theme="1"/>
        <rFont val="Times New Roman"/>
        <charset val="134"/>
      </rPr>
      <t>THE FOLLOWS ARE FOR ISSUING LC OR T/T REMITTANCE:
Beneficiary Bank Information for USD:
BENEFICIARY NAME: Guangdong Evershine Group Co.,Ltd
BANK NAME: CHINA CITIC BANK GUANGZHOU BRANCH
BANK ADDRESS:48/F</t>
    </r>
    <r>
      <rPr>
        <sz val="14"/>
        <color theme="1"/>
        <rFont val="宋体"/>
        <charset val="134"/>
      </rPr>
      <t>，</t>
    </r>
    <r>
      <rPr>
        <sz val="14"/>
        <color theme="1"/>
        <rFont val="Times New Roman"/>
        <charset val="134"/>
      </rPr>
      <t>CITIC Plaza, Tian He Bei 233, GuangZhou, PRC
BENEFICIARY ACCOUNT NUMBER:8110914013501858092
BENEFICIARY BANK SWIFT CODE: CIBKCNBJ510</t>
    </r>
  </si>
  <si>
    <t>Beneficiary Bank Information for USD:
BENEFICIARY NAME: Guangdong Evershine Group Co.,Ltd
BANK NAME: CHINA CITIC BANK GUANGZHOU BRANCH
BANK ADDRESS:48/F，CITIC Plaza, Tian He Bei 233, GuangZhou, PRC
BENEFICIARY ACCOUNT NUMBER:8110914013501858092
BENEFICIARY BANK SWIFT CODE: CIBKCNBJ510</t>
  </si>
  <si>
    <t>Total</t>
  </si>
  <si>
    <t>25</t>
  </si>
  <si>
    <t>560.1</t>
  </si>
  <si>
    <t>1153.8</t>
  </si>
  <si>
    <t>1261.82</t>
  </si>
  <si>
    <t>20</t>
  </si>
  <si>
    <t>454.8</t>
  </si>
  <si>
    <t>936.89</t>
  </si>
  <si>
    <t>1024.59</t>
  </si>
  <si>
    <t>28</t>
  </si>
  <si>
    <t>650.6</t>
  </si>
  <si>
    <t>1340.24</t>
  </si>
  <si>
    <t>1465.7</t>
  </si>
  <si>
    <t>2</t>
  </si>
  <si>
    <t>44</t>
  </si>
  <si>
    <t>90.64</t>
  </si>
  <si>
    <t>99.13</t>
  </si>
  <si>
    <t>Gross Weight/KG</t>
  </si>
  <si>
    <t>25A109A</t>
  </si>
  <si>
    <t>6373D</t>
  </si>
  <si>
    <t>Total Gross Weight/KG</t>
  </si>
  <si>
    <t>NOTE</t>
  </si>
  <si>
    <t xml:space="preserve">Gross Weight = </t>
  </si>
  <si>
    <t>15 yards was cutted and sent to you guysbefore</t>
  </si>
  <si>
    <t>15 yard cutted weight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</si>
</sst>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##&quot;#&quot;"/>
    <numFmt numFmtId="178" formatCode="0.00_);[Red]\(0.00\)"/>
    <numFmt numFmtId="179" formatCode="0.0_ "/>
  </numFmts>
  <fonts count="37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Times New Roman"/>
      <charset val="134"/>
    </font>
    <font>
      <sz val="16"/>
      <name val="Times New Roman"/>
      <charset val="134"/>
    </font>
    <font>
      <sz val="11"/>
      <color theme="1"/>
      <name val="Times New Roman"/>
      <charset val="134"/>
    </font>
    <font>
      <sz val="12"/>
      <name val="Times New Roman"/>
      <charset val="134"/>
    </font>
    <font>
      <sz val="11"/>
      <name val="Times New Roman"/>
      <charset val="134"/>
    </font>
    <font>
      <sz val="12"/>
      <color rgb="FFFF0000"/>
      <name val="宋体"/>
      <charset val="134"/>
      <scheme val="minor"/>
    </font>
    <font>
      <sz val="10"/>
      <color rgb="FFFF0000"/>
      <name val="Times New Roman"/>
      <charset val="134"/>
    </font>
    <font>
      <sz val="11"/>
      <name val="Calibri"/>
      <charset val="134"/>
    </font>
    <font>
      <sz val="14"/>
      <color theme="1"/>
      <name val="Times New Roman"/>
      <charset val="134"/>
    </font>
    <font>
      <sz val="10"/>
      <name val="宋体"/>
      <charset val="134"/>
    </font>
    <font>
      <b/>
      <sz val="11"/>
      <color theme="1"/>
      <name val="Arial"/>
      <charset val="134"/>
    </font>
    <font>
      <b/>
      <sz val="12"/>
      <color theme="1"/>
      <name val="Arial"/>
      <charset val="134"/>
    </font>
    <font>
      <sz val="11"/>
      <color theme="1"/>
      <name val="Arial"/>
      <charset val="134"/>
    </font>
    <font>
      <sz val="11"/>
      <name val="Arial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17" applyNumberFormat="0" applyAlignment="0" applyProtection="0">
      <alignment vertical="center"/>
    </xf>
    <xf numFmtId="0" fontId="26" fillId="6" borderId="18" applyNumberFormat="0" applyAlignment="0" applyProtection="0">
      <alignment vertical="center"/>
    </xf>
    <xf numFmtId="0" fontId="27" fillId="6" borderId="17" applyNumberFormat="0" applyAlignment="0" applyProtection="0">
      <alignment vertical="center"/>
    </xf>
    <xf numFmtId="0" fontId="28" fillId="7" borderId="19" applyNumberFormat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30" fillId="0" borderId="21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Border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/>
    <xf numFmtId="0" fontId="1" fillId="0" borderId="0" xfId="6" applyFont="1" applyAlignment="1" applyProtection="1">
      <alignment vertical="center"/>
    </xf>
    <xf numFmtId="0" fontId="5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77" fontId="2" fillId="0" borderId="1" xfId="0" applyNumberFormat="1" applyFont="1" applyFill="1" applyBorder="1" applyAlignment="1">
      <alignment horizontal="center" vertical="center" wrapText="1"/>
    </xf>
    <xf numFmtId="0" fontId="9" fillId="3" borderId="1" xfId="0" applyNumberFormat="1" applyFont="1" applyFill="1" applyBorder="1" applyAlignment="1">
      <alignment horizontal="center" vertical="center"/>
    </xf>
    <xf numFmtId="176" fontId="2" fillId="0" borderId="12" xfId="0" applyNumberFormat="1" applyFont="1" applyFill="1" applyBorder="1" applyAlignment="1">
      <alignment horizontal="center" vertical="center"/>
    </xf>
    <xf numFmtId="176" fontId="2" fillId="0" borderId="5" xfId="0" applyNumberFormat="1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/>
    </xf>
    <xf numFmtId="0" fontId="0" fillId="0" borderId="10" xfId="0" applyFill="1" applyBorder="1" applyAlignment="1">
      <alignment vertical="center"/>
    </xf>
    <xf numFmtId="0" fontId="2" fillId="0" borderId="13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79" fontId="9" fillId="3" borderId="1" xfId="0" applyNumberFormat="1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9" fillId="3" borderId="12" xfId="0" applyNumberFormat="1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/>
    </xf>
    <xf numFmtId="177" fontId="2" fillId="0" borderId="3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49" fontId="8" fillId="0" borderId="12" xfId="0" applyNumberFormat="1" applyFont="1" applyFill="1" applyBorder="1" applyAlignment="1">
      <alignment horizontal="center" vertical="center" wrapText="1"/>
    </xf>
    <xf numFmtId="49" fontId="8" fillId="0" borderId="5" xfId="0" applyNumberFormat="1" applyFont="1" applyFill="1" applyBorder="1" applyAlignment="1">
      <alignment horizontal="center" vertical="center" wrapText="1"/>
    </xf>
    <xf numFmtId="177" fontId="2" fillId="0" borderId="6" xfId="0" applyNumberFormat="1" applyFont="1" applyFill="1" applyBorder="1" applyAlignment="1">
      <alignment horizontal="center" vertical="center" wrapText="1"/>
    </xf>
    <xf numFmtId="49" fontId="2" fillId="0" borderId="12" xfId="0" applyNumberFormat="1" applyFont="1" applyFill="1" applyBorder="1" applyAlignment="1">
      <alignment horizontal="center" vertical="center" wrapText="1"/>
    </xf>
    <xf numFmtId="0" fontId="2" fillId="0" borderId="12" xfId="0" applyNumberFormat="1" applyFont="1" applyFill="1" applyBorder="1" applyAlignment="1">
      <alignment horizontal="center" vertical="center"/>
    </xf>
    <xf numFmtId="178" fontId="2" fillId="0" borderId="12" xfId="0" applyNumberFormat="1" applyFont="1" applyFill="1" applyBorder="1" applyAlignment="1">
      <alignment horizontal="center" vertical="center"/>
    </xf>
    <xf numFmtId="177" fontId="2" fillId="0" borderId="5" xfId="0" applyNumberFormat="1" applyFont="1" applyFill="1" applyBorder="1" applyAlignment="1">
      <alignment horizontal="center" vertical="center" wrapText="1"/>
    </xf>
    <xf numFmtId="177" fontId="2" fillId="0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0" borderId="0" xfId="0" applyFont="1" applyFill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>
      <alignment vertical="center"/>
    </xf>
    <xf numFmtId="0" fontId="11" fillId="0" borderId="2" xfId="0" applyFont="1" applyFill="1" applyBorder="1" applyAlignment="1">
      <alignment vertical="center"/>
    </xf>
    <xf numFmtId="0" fontId="11" fillId="0" borderId="3" xfId="0" applyFont="1" applyFill="1" applyBorder="1" applyAlignment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304800</xdr:colOff>
      <xdr:row>0</xdr:row>
      <xdr:rowOff>60960</xdr:rowOff>
    </xdr:from>
    <xdr:to>
      <xdr:col>1</xdr:col>
      <xdr:colOff>419100</xdr:colOff>
      <xdr:row>1</xdr:row>
      <xdr:rowOff>215900</xdr:rowOff>
    </xdr:to>
    <xdr:pic>
      <xdr:nvPicPr>
        <xdr:cNvPr id="2" name="图片 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4800" y="60960"/>
          <a:ext cx="723900" cy="472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56"/>
  <sheetViews>
    <sheetView tabSelected="1" zoomScale="80" zoomScaleNormal="80" topLeftCell="F4" workbookViewId="0">
      <selection activeCell="S10" sqref="S10:S38"/>
    </sheetView>
  </sheetViews>
  <sheetFormatPr defaultColWidth="9" defaultRowHeight="14.25"/>
  <cols>
    <col min="1" max="1" width="8" style="1" customWidth="1"/>
    <col min="2" max="2" width="12.3666666666667" style="1" customWidth="1"/>
    <col min="3" max="3" width="4.86666666666667" style="1" customWidth="1"/>
    <col min="4" max="4" width="8.88333333333333" style="1" customWidth="1"/>
    <col min="5" max="5" width="7.125" style="1" customWidth="1"/>
    <col min="6" max="6" width="7.63333333333333" style="1" customWidth="1"/>
    <col min="7" max="7" width="7.5" style="1" customWidth="1"/>
    <col min="8" max="8" width="16.25" style="1" customWidth="1"/>
    <col min="9" max="9" width="5.55" style="1" customWidth="1"/>
    <col min="10" max="10" width="8.88333333333333" style="1" customWidth="1"/>
    <col min="11" max="11" width="7.21666666666667" customWidth="1"/>
    <col min="12" max="12" width="7.63333333333333" customWidth="1"/>
    <col min="13" max="13" width="7.35833333333333" customWidth="1"/>
    <col min="14" max="14" width="14.8416666666667" customWidth="1"/>
    <col min="15" max="15" width="5.125" customWidth="1"/>
    <col min="16" max="16" width="8.75" customWidth="1"/>
    <col min="17" max="17" width="6.80833333333333" customWidth="1"/>
    <col min="18" max="18" width="7.65833333333333" customWidth="1"/>
    <col min="19" max="19" width="6.8" customWidth="1"/>
    <col min="20" max="20" width="12.25" customWidth="1"/>
    <col min="21" max="21" width="5.125" customWidth="1"/>
    <col min="22" max="22" width="8.75" customWidth="1"/>
    <col min="23" max="23" width="5.55" customWidth="1"/>
    <col min="24" max="24" width="6.25" customWidth="1"/>
    <col min="25" max="25" width="4.25" style="2" customWidth="1"/>
    <col min="26" max="26" width="9.025" customWidth="1"/>
    <col min="27" max="27" width="11.125" customWidth="1"/>
    <col min="28" max="28" width="19.625" customWidth="1"/>
    <col min="29" max="29" width="11.9416666666667" customWidth="1"/>
    <col min="30" max="30" width="24.3666666666667" customWidth="1"/>
    <col min="31" max="31" width="20.125" customWidth="1"/>
  </cols>
  <sheetData>
    <row r="1" ht="25" customHeight="1" spans="1:31">
      <c r="A1" s="3"/>
      <c r="B1" s="3"/>
      <c r="H1" s="4" t="s">
        <v>0</v>
      </c>
      <c r="I1" s="3"/>
      <c r="J1" s="3"/>
      <c r="K1" s="3"/>
      <c r="L1" s="3"/>
      <c r="M1" s="3"/>
      <c r="S1" s="3"/>
    </row>
    <row r="2" ht="25" customHeight="1" spans="1:31">
      <c r="A2" s="3"/>
      <c r="B2" s="3"/>
      <c r="H2" s="5" t="s">
        <v>1</v>
      </c>
      <c r="I2" s="5"/>
      <c r="J2" s="5"/>
      <c r="K2" s="5"/>
      <c r="L2" s="5"/>
      <c r="M2" s="5"/>
      <c r="S2" s="5"/>
    </row>
    <row r="3" ht="11" customHeight="1" spans="1:31">
      <c r="B3" s="6"/>
      <c r="K3" s="7"/>
    </row>
    <row r="4" ht="24" customHeight="1" spans="1:31">
      <c r="A4" s="8"/>
      <c r="B4" s="8"/>
      <c r="C4" s="8"/>
      <c r="H4" s="8"/>
      <c r="I4" s="8"/>
      <c r="J4" s="9"/>
      <c r="K4" s="9" t="s">
        <v>2</v>
      </c>
      <c r="L4" s="9"/>
    </row>
    <row r="5" ht="27" spans="1:31">
      <c r="A5" s="10" t="s">
        <v>3</v>
      </c>
      <c r="B5" s="10"/>
      <c r="C5" s="10"/>
      <c r="D5" s="10"/>
      <c r="E5" s="10"/>
      <c r="F5" s="10"/>
      <c r="G5" s="11" t="s">
        <v>4</v>
      </c>
      <c r="H5" s="12"/>
      <c r="I5" s="12"/>
      <c r="J5" s="12"/>
      <c r="K5" s="12"/>
      <c r="L5" s="12"/>
      <c r="M5" s="12"/>
      <c r="N5" s="12"/>
      <c r="O5" s="13"/>
      <c r="P5" s="11" t="s">
        <v>5</v>
      </c>
      <c r="Q5" s="12"/>
      <c r="R5" s="12"/>
      <c r="S5" s="12"/>
      <c r="T5" s="12"/>
      <c r="U5" s="12"/>
      <c r="V5" s="12"/>
      <c r="W5" s="12"/>
      <c r="X5" s="13"/>
      <c r="Y5" s="14"/>
      <c r="Z5" s="15" t="s">
        <v>6</v>
      </c>
      <c r="AA5" s="16" t="s">
        <v>7</v>
      </c>
      <c r="AB5" s="16" t="s">
        <v>8</v>
      </c>
      <c r="AC5" s="15" t="s">
        <v>9</v>
      </c>
      <c r="AD5" s="15" t="s">
        <v>10</v>
      </c>
      <c r="AE5" s="16" t="s">
        <v>11</v>
      </c>
    </row>
    <row r="6" ht="24" customHeight="1" spans="1:31">
      <c r="A6" s="10" t="s">
        <v>12</v>
      </c>
      <c r="B6" s="10"/>
      <c r="C6" s="10"/>
      <c r="D6" s="10"/>
      <c r="E6" s="10"/>
      <c r="F6" s="10"/>
      <c r="G6" s="17" t="s">
        <v>13</v>
      </c>
      <c r="H6" s="18"/>
      <c r="I6" s="18"/>
      <c r="J6" s="18"/>
      <c r="K6" s="18"/>
      <c r="L6" s="18"/>
      <c r="M6" s="18"/>
      <c r="N6" s="18"/>
      <c r="O6" s="19"/>
      <c r="P6" s="20" t="s">
        <v>14</v>
      </c>
      <c r="Q6" s="21"/>
      <c r="R6" s="21"/>
      <c r="S6" s="21"/>
      <c r="T6" s="21"/>
      <c r="U6" s="21"/>
      <c r="V6" s="21"/>
      <c r="W6" s="21"/>
      <c r="X6" s="22"/>
      <c r="Y6" s="14"/>
      <c r="Z6" s="23" t="s">
        <v>15</v>
      </c>
      <c r="AA6" s="15">
        <v>560.1</v>
      </c>
      <c r="AB6" s="15">
        <v>18.2</v>
      </c>
      <c r="AC6" s="24">
        <f>AB6*AA6</f>
        <v>10193.82</v>
      </c>
      <c r="AD6" s="24">
        <v>8962.34</v>
      </c>
      <c r="AE6" s="25">
        <f>AC6+AC7+AC8+AC9-AD6</f>
        <v>22150.56</v>
      </c>
    </row>
    <row r="7" ht="27" customHeight="1" spans="1:31">
      <c r="A7" s="10"/>
      <c r="B7" s="10"/>
      <c r="C7" s="10"/>
      <c r="D7" s="10"/>
      <c r="E7" s="10"/>
      <c r="F7" s="10"/>
      <c r="G7" s="26"/>
      <c r="H7" s="27"/>
      <c r="I7" s="27"/>
      <c r="J7" s="27"/>
      <c r="K7" s="27"/>
      <c r="L7" s="27"/>
      <c r="M7" s="27"/>
      <c r="N7" s="27"/>
      <c r="O7" s="28"/>
      <c r="P7" s="29"/>
      <c r="Q7" s="30"/>
      <c r="R7" s="30"/>
      <c r="S7" s="30"/>
      <c r="T7" s="30"/>
      <c r="U7" s="30"/>
      <c r="V7" s="30"/>
      <c r="W7" s="30"/>
      <c r="X7" s="31"/>
      <c r="Y7" s="14"/>
      <c r="Z7" s="16" t="s">
        <v>16</v>
      </c>
      <c r="AA7" s="15">
        <v>454.8</v>
      </c>
      <c r="AB7" s="15">
        <v>18.2</v>
      </c>
      <c r="AC7" s="24">
        <f>AA7*AB7</f>
        <v>8277.36</v>
      </c>
      <c r="AD7" s="24"/>
      <c r="AE7" s="25"/>
    </row>
    <row r="8" ht="26" customHeight="1" spans="1:31">
      <c r="A8" s="32" t="s">
        <v>17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Z8" s="23" t="s">
        <v>18</v>
      </c>
      <c r="AA8" s="15">
        <v>650.6</v>
      </c>
      <c r="AB8" s="15">
        <v>18.2</v>
      </c>
      <c r="AC8" s="15">
        <f>AA8*AB8</f>
        <v>11840.92</v>
      </c>
      <c r="AD8" s="24"/>
      <c r="AE8" s="25"/>
    </row>
    <row r="9" ht="25.5" spans="1:31">
      <c r="A9" s="33" t="s">
        <v>19</v>
      </c>
      <c r="B9" s="33" t="s">
        <v>20</v>
      </c>
      <c r="C9" s="33" t="s">
        <v>21</v>
      </c>
      <c r="D9" s="34" t="s">
        <v>7</v>
      </c>
      <c r="E9" s="33" t="s">
        <v>22</v>
      </c>
      <c r="F9" s="33" t="s">
        <v>23</v>
      </c>
      <c r="G9" s="33" t="s">
        <v>19</v>
      </c>
      <c r="H9" s="33" t="s">
        <v>20</v>
      </c>
      <c r="I9" s="33" t="s">
        <v>21</v>
      </c>
      <c r="J9" s="34" t="s">
        <v>7</v>
      </c>
      <c r="K9" s="33" t="s">
        <v>22</v>
      </c>
      <c r="L9" s="33" t="s">
        <v>23</v>
      </c>
      <c r="M9" s="33" t="s">
        <v>19</v>
      </c>
      <c r="N9" s="33" t="s">
        <v>20</v>
      </c>
      <c r="O9" s="33" t="s">
        <v>21</v>
      </c>
      <c r="P9" s="34" t="s">
        <v>7</v>
      </c>
      <c r="Q9" s="33" t="s">
        <v>22</v>
      </c>
      <c r="R9" s="33" t="s">
        <v>23</v>
      </c>
      <c r="S9" s="33" t="s">
        <v>19</v>
      </c>
      <c r="T9" s="33" t="s">
        <v>20</v>
      </c>
      <c r="U9" s="33" t="s">
        <v>21</v>
      </c>
      <c r="V9" s="34" t="s">
        <v>7</v>
      </c>
      <c r="W9" s="33" t="s">
        <v>22</v>
      </c>
      <c r="X9" s="33" t="s">
        <v>23</v>
      </c>
      <c r="Y9" s="14"/>
      <c r="Z9" s="35" t="s">
        <v>24</v>
      </c>
      <c r="AA9" s="15">
        <v>44</v>
      </c>
      <c r="AB9" s="15">
        <v>18.2</v>
      </c>
      <c r="AC9" s="15">
        <f>AA9*AB9</f>
        <v>800.8</v>
      </c>
      <c r="AD9" s="24"/>
      <c r="AE9" s="25"/>
    </row>
    <row r="10" ht="24" customHeight="1" spans="1:31">
      <c r="A10" s="36" t="s">
        <v>25</v>
      </c>
      <c r="B10" s="22" t="s">
        <v>26</v>
      </c>
      <c r="C10" s="37">
        <v>1</v>
      </c>
      <c r="D10" s="37">
        <v>10.2</v>
      </c>
      <c r="E10" s="38">
        <f t="shared" ref="E10:E15" si="0">D10*2.06</f>
        <v>21.012</v>
      </c>
      <c r="F10" s="39">
        <f>E10*1.0936133</f>
        <v>22.9790026596</v>
      </c>
      <c r="G10" s="40" t="s">
        <v>27</v>
      </c>
      <c r="H10" s="22" t="s">
        <v>28</v>
      </c>
      <c r="I10" s="37">
        <v>1</v>
      </c>
      <c r="J10" s="37">
        <v>18.4</v>
      </c>
      <c r="K10" s="38">
        <f>J10*2.06</f>
        <v>37.904</v>
      </c>
      <c r="L10" s="38">
        <f>K10*1.0936133</f>
        <v>41.4523185232</v>
      </c>
      <c r="M10" s="40" t="s">
        <v>29</v>
      </c>
      <c r="N10" s="10" t="s">
        <v>30</v>
      </c>
      <c r="O10" s="37">
        <v>1</v>
      </c>
      <c r="P10" s="41">
        <v>17.6</v>
      </c>
      <c r="Q10" s="38">
        <f>P10*2.06</f>
        <v>36.256</v>
      </c>
      <c r="R10" s="42">
        <f>Q10*1.0936133</f>
        <v>39.6500438048</v>
      </c>
      <c r="S10" s="40" t="s">
        <v>31</v>
      </c>
      <c r="T10" s="10" t="s">
        <v>32</v>
      </c>
      <c r="U10" s="37">
        <v>1</v>
      </c>
      <c r="V10" s="41">
        <v>20.9</v>
      </c>
      <c r="W10" s="38">
        <f>V10*2.06</f>
        <v>43.054</v>
      </c>
      <c r="X10" s="42">
        <f>W10*1.0936133</f>
        <v>47.0844270182</v>
      </c>
      <c r="Z10" s="43"/>
      <c r="AA10" s="44"/>
      <c r="AB10" s="44"/>
      <c r="AC10" s="44"/>
      <c r="AD10" s="44"/>
      <c r="AE10" s="45"/>
    </row>
    <row r="11" ht="15" spans="1:31">
      <c r="A11" s="36"/>
      <c r="B11" s="22" t="s">
        <v>26</v>
      </c>
      <c r="C11" s="37">
        <v>2</v>
      </c>
      <c r="D11" s="37">
        <v>17.5</v>
      </c>
      <c r="E11" s="38">
        <f t="shared" si="0"/>
        <v>36.05</v>
      </c>
      <c r="F11" s="39">
        <f t="shared" ref="F10:F42" si="1">E11*1.0936133</f>
        <v>39.424759465</v>
      </c>
      <c r="G11" s="46"/>
      <c r="H11" s="22" t="s">
        <v>28</v>
      </c>
      <c r="I11" s="37">
        <v>2</v>
      </c>
      <c r="J11" s="37">
        <v>19</v>
      </c>
      <c r="K11" s="38">
        <f t="shared" ref="K11:K29" si="2">J11*2.06</f>
        <v>39.14</v>
      </c>
      <c r="L11" s="38">
        <f t="shared" ref="L11:L31" si="3">K11*1.0936133</f>
        <v>42.804024562</v>
      </c>
      <c r="M11" s="46"/>
      <c r="N11" s="10" t="s">
        <v>30</v>
      </c>
      <c r="O11" s="37">
        <v>2</v>
      </c>
      <c r="P11" s="41">
        <v>20.6</v>
      </c>
      <c r="Q11" s="38">
        <f t="shared" ref="Q11:Q37" si="4">P11*2.06</f>
        <v>42.436</v>
      </c>
      <c r="R11" s="42">
        <f t="shared" ref="R11:R37" si="5">Q11*1.0936133</f>
        <v>46.4085739988</v>
      </c>
      <c r="S11" s="46"/>
      <c r="T11" s="10" t="s">
        <v>32</v>
      </c>
      <c r="U11" s="37">
        <v>2</v>
      </c>
      <c r="V11" s="41">
        <v>23.1</v>
      </c>
      <c r="W11" s="38">
        <f>V11*2.06</f>
        <v>47.586</v>
      </c>
      <c r="X11" s="42">
        <f>W11*1.0936133</f>
        <v>52.0406824938</v>
      </c>
    </row>
    <row r="12" ht="18.75" spans="1:31">
      <c r="A12" s="36"/>
      <c r="B12" s="22" t="s">
        <v>26</v>
      </c>
      <c r="C12" s="37">
        <v>3</v>
      </c>
      <c r="D12" s="37">
        <v>18.9</v>
      </c>
      <c r="E12" s="38">
        <f t="shared" si="0"/>
        <v>38.934</v>
      </c>
      <c r="F12" s="39">
        <f t="shared" si="1"/>
        <v>42.5787402222</v>
      </c>
      <c r="G12" s="46"/>
      <c r="H12" s="22" t="s">
        <v>28</v>
      </c>
      <c r="I12" s="37">
        <v>3</v>
      </c>
      <c r="J12" s="37">
        <v>19.8</v>
      </c>
      <c r="K12" s="38">
        <f t="shared" si="2"/>
        <v>40.788</v>
      </c>
      <c r="L12" s="38">
        <f t="shared" si="3"/>
        <v>44.6062992804</v>
      </c>
      <c r="M12" s="46"/>
      <c r="N12" s="10" t="s">
        <v>30</v>
      </c>
      <c r="O12" s="37">
        <v>3</v>
      </c>
      <c r="P12" s="41">
        <v>21.4</v>
      </c>
      <c r="Q12" s="38">
        <f t="shared" si="4"/>
        <v>44.084</v>
      </c>
      <c r="R12" s="42">
        <f t="shared" si="5"/>
        <v>48.2108487172</v>
      </c>
      <c r="S12" s="46"/>
      <c r="T12" s="10"/>
      <c r="U12" s="37"/>
      <c r="V12" s="41"/>
      <c r="W12" s="38"/>
      <c r="X12" s="42"/>
      <c r="Y12" s="47"/>
      <c r="AA12" s="48" t="s">
        <v>33</v>
      </c>
      <c r="AB12" s="48"/>
      <c r="AC12" s="48"/>
      <c r="AD12" s="48"/>
      <c r="AE12" s="48"/>
    </row>
    <row r="13" ht="15" spans="1:31">
      <c r="A13" s="36"/>
      <c r="B13" s="22" t="s">
        <v>26</v>
      </c>
      <c r="C13" s="37">
        <v>4</v>
      </c>
      <c r="D13" s="37">
        <v>21.5</v>
      </c>
      <c r="E13" s="38">
        <f t="shared" si="0"/>
        <v>44.29</v>
      </c>
      <c r="F13" s="39">
        <f t="shared" si="1"/>
        <v>48.436133057</v>
      </c>
      <c r="G13" s="46"/>
      <c r="H13" s="22" t="s">
        <v>28</v>
      </c>
      <c r="I13" s="37">
        <v>4</v>
      </c>
      <c r="J13" s="37">
        <v>20.6</v>
      </c>
      <c r="K13" s="38">
        <f t="shared" si="2"/>
        <v>42.436</v>
      </c>
      <c r="L13" s="38">
        <f t="shared" si="3"/>
        <v>46.4085739988</v>
      </c>
      <c r="M13" s="46"/>
      <c r="N13" s="10" t="s">
        <v>30</v>
      </c>
      <c r="O13" s="37">
        <v>4</v>
      </c>
      <c r="P13" s="41">
        <v>22.9</v>
      </c>
      <c r="Q13" s="38">
        <f t="shared" si="4"/>
        <v>47.174</v>
      </c>
      <c r="R13" s="42">
        <f t="shared" si="5"/>
        <v>51.5901138142</v>
      </c>
      <c r="S13" s="46"/>
      <c r="T13" s="10"/>
      <c r="U13" s="37"/>
      <c r="V13" s="41"/>
      <c r="W13" s="38"/>
      <c r="X13" s="42"/>
      <c r="Y13" s="49"/>
      <c r="AA13" s="16" t="s">
        <v>34</v>
      </c>
      <c r="AB13" s="15"/>
      <c r="AC13" s="15"/>
      <c r="AD13" s="15"/>
      <c r="AE13" s="15"/>
    </row>
    <row r="14" ht="15" spans="1:31">
      <c r="A14" s="36"/>
      <c r="B14" s="22" t="s">
        <v>26</v>
      </c>
      <c r="C14" s="37">
        <v>5</v>
      </c>
      <c r="D14" s="37">
        <v>22.2</v>
      </c>
      <c r="E14" s="38">
        <f t="shared" si="0"/>
        <v>45.732</v>
      </c>
      <c r="F14" s="39">
        <f t="shared" si="1"/>
        <v>50.0131234356</v>
      </c>
      <c r="G14" s="46"/>
      <c r="H14" s="22" t="s">
        <v>28</v>
      </c>
      <c r="I14" s="37">
        <v>5</v>
      </c>
      <c r="J14" s="37">
        <v>21.6</v>
      </c>
      <c r="K14" s="38">
        <f t="shared" si="2"/>
        <v>44.496</v>
      </c>
      <c r="L14" s="38">
        <f t="shared" si="3"/>
        <v>48.6614173968</v>
      </c>
      <c r="M14" s="46"/>
      <c r="N14" s="10" t="s">
        <v>30</v>
      </c>
      <c r="O14" s="37">
        <v>5</v>
      </c>
      <c r="P14" s="41">
        <v>22.9</v>
      </c>
      <c r="Q14" s="38">
        <f t="shared" si="4"/>
        <v>47.174</v>
      </c>
      <c r="R14" s="42">
        <f t="shared" si="5"/>
        <v>51.5901138142</v>
      </c>
      <c r="S14" s="46"/>
      <c r="T14" s="10"/>
      <c r="U14" s="37"/>
      <c r="V14" s="41"/>
      <c r="W14" s="38"/>
      <c r="X14" s="42"/>
      <c r="Y14" s="14"/>
      <c r="AA14" s="15"/>
      <c r="AB14" s="15"/>
      <c r="AC14" s="15"/>
      <c r="AD14" s="15"/>
      <c r="AE14" s="15"/>
    </row>
    <row r="15" ht="15" spans="1:31">
      <c r="A15" s="36"/>
      <c r="B15" s="22" t="s">
        <v>26</v>
      </c>
      <c r="C15" s="37">
        <v>6</v>
      </c>
      <c r="D15" s="37">
        <v>22.8</v>
      </c>
      <c r="E15" s="38">
        <f t="shared" si="0"/>
        <v>46.968</v>
      </c>
      <c r="F15" s="39">
        <f t="shared" si="1"/>
        <v>51.3648294744</v>
      </c>
      <c r="G15" s="46"/>
      <c r="H15" s="22" t="s">
        <v>28</v>
      </c>
      <c r="I15" s="37">
        <v>6</v>
      </c>
      <c r="J15" s="37">
        <v>21.7</v>
      </c>
      <c r="K15" s="38">
        <f t="shared" si="2"/>
        <v>44.702</v>
      </c>
      <c r="L15" s="38">
        <f t="shared" si="3"/>
        <v>48.8867017366</v>
      </c>
      <c r="M15" s="46"/>
      <c r="N15" s="10" t="s">
        <v>30</v>
      </c>
      <c r="O15" s="37">
        <v>6</v>
      </c>
      <c r="P15" s="41">
        <v>23.1</v>
      </c>
      <c r="Q15" s="38">
        <f t="shared" si="4"/>
        <v>47.586</v>
      </c>
      <c r="R15" s="42">
        <f t="shared" si="5"/>
        <v>52.0406824938</v>
      </c>
      <c r="S15" s="46"/>
      <c r="T15" s="10"/>
      <c r="U15" s="37"/>
      <c r="V15" s="41"/>
      <c r="W15" s="38"/>
      <c r="X15" s="42"/>
      <c r="Y15" s="14"/>
      <c r="AA15" s="15"/>
      <c r="AB15" s="15"/>
      <c r="AC15" s="15"/>
      <c r="AD15" s="15"/>
      <c r="AE15" s="15"/>
    </row>
    <row r="16" ht="15" spans="1:31">
      <c r="A16" s="36"/>
      <c r="B16" s="22" t="s">
        <v>26</v>
      </c>
      <c r="C16" s="37">
        <v>7</v>
      </c>
      <c r="D16" s="37">
        <v>22.8</v>
      </c>
      <c r="E16" s="38">
        <f t="shared" ref="E14:E34" si="6">D16*2.06</f>
        <v>46.968</v>
      </c>
      <c r="F16" s="39">
        <f t="shared" si="1"/>
        <v>51.3648294744</v>
      </c>
      <c r="G16" s="46"/>
      <c r="H16" s="22" t="s">
        <v>28</v>
      </c>
      <c r="I16" s="37">
        <v>7</v>
      </c>
      <c r="J16" s="37">
        <v>22.9</v>
      </c>
      <c r="K16" s="38">
        <f t="shared" si="2"/>
        <v>47.174</v>
      </c>
      <c r="L16" s="38">
        <f t="shared" si="3"/>
        <v>51.5901138142</v>
      </c>
      <c r="M16" s="46"/>
      <c r="N16" s="10" t="s">
        <v>30</v>
      </c>
      <c r="O16" s="37">
        <v>7</v>
      </c>
      <c r="P16" s="41">
        <v>23.2</v>
      </c>
      <c r="Q16" s="38">
        <f t="shared" si="4"/>
        <v>47.792</v>
      </c>
      <c r="R16" s="42">
        <f t="shared" si="5"/>
        <v>52.2659668336</v>
      </c>
      <c r="S16" s="46"/>
      <c r="T16" s="10"/>
      <c r="U16" s="37"/>
      <c r="V16" s="41"/>
      <c r="W16" s="38"/>
      <c r="X16" s="42"/>
      <c r="Y16" s="14"/>
      <c r="AA16" s="15"/>
      <c r="AB16" s="15"/>
      <c r="AC16" s="15"/>
      <c r="AD16" s="15"/>
      <c r="AE16" s="15"/>
    </row>
    <row r="17" ht="15" spans="1:31">
      <c r="A17" s="36"/>
      <c r="B17" s="22" t="s">
        <v>26</v>
      </c>
      <c r="C17" s="37">
        <v>8</v>
      </c>
      <c r="D17" s="37">
        <v>22.5</v>
      </c>
      <c r="E17" s="38">
        <f t="shared" si="6"/>
        <v>46.35</v>
      </c>
      <c r="F17" s="39">
        <f t="shared" si="1"/>
        <v>50.688976455</v>
      </c>
      <c r="G17" s="46"/>
      <c r="H17" s="22" t="s">
        <v>28</v>
      </c>
      <c r="I17" s="37">
        <v>8</v>
      </c>
      <c r="J17" s="50">
        <v>23</v>
      </c>
      <c r="K17" s="38">
        <f t="shared" si="2"/>
        <v>47.38</v>
      </c>
      <c r="L17" s="38">
        <f t="shared" si="3"/>
        <v>51.815398154</v>
      </c>
      <c r="M17" s="46"/>
      <c r="N17" s="10" t="s">
        <v>30</v>
      </c>
      <c r="O17" s="37">
        <v>8</v>
      </c>
      <c r="P17" s="41">
        <v>23.3</v>
      </c>
      <c r="Q17" s="38">
        <f t="shared" si="4"/>
        <v>47.998</v>
      </c>
      <c r="R17" s="42">
        <f t="shared" si="5"/>
        <v>52.4912511734</v>
      </c>
      <c r="S17" s="46"/>
      <c r="T17" s="10"/>
      <c r="U17" s="37"/>
      <c r="V17" s="41"/>
      <c r="W17" s="38"/>
      <c r="X17" s="42"/>
      <c r="Y17" s="14"/>
      <c r="AA17" s="15"/>
      <c r="AB17" s="15"/>
      <c r="AC17" s="15"/>
      <c r="AD17" s="15"/>
      <c r="AE17" s="15"/>
    </row>
    <row r="18" ht="15" spans="1:31">
      <c r="A18" s="36"/>
      <c r="B18" s="22" t="s">
        <v>26</v>
      </c>
      <c r="C18" s="37">
        <v>9</v>
      </c>
      <c r="D18" s="50">
        <v>23.1</v>
      </c>
      <c r="E18" s="38">
        <f t="shared" si="6"/>
        <v>47.586</v>
      </c>
      <c r="F18" s="39">
        <f t="shared" si="1"/>
        <v>52.0406824938</v>
      </c>
      <c r="G18" s="46"/>
      <c r="H18" s="22" t="s">
        <v>28</v>
      </c>
      <c r="I18" s="37">
        <v>9</v>
      </c>
      <c r="J18" s="37">
        <v>23.4</v>
      </c>
      <c r="K18" s="38">
        <f t="shared" si="2"/>
        <v>48.204</v>
      </c>
      <c r="L18" s="38">
        <f t="shared" si="3"/>
        <v>52.7165355132</v>
      </c>
      <c r="M18" s="46"/>
      <c r="N18" s="10" t="s">
        <v>30</v>
      </c>
      <c r="O18" s="37">
        <v>9</v>
      </c>
      <c r="P18" s="41">
        <v>23.4</v>
      </c>
      <c r="Q18" s="38">
        <f t="shared" si="4"/>
        <v>48.204</v>
      </c>
      <c r="R18" s="42">
        <f t="shared" si="5"/>
        <v>52.7165355132</v>
      </c>
      <c r="S18" s="46"/>
      <c r="T18" s="10"/>
      <c r="U18" s="37"/>
      <c r="V18" s="41"/>
      <c r="W18" s="38"/>
      <c r="X18" s="42"/>
      <c r="Y18" s="14"/>
      <c r="AA18" s="15"/>
      <c r="AB18" s="15"/>
      <c r="AC18" s="15"/>
      <c r="AD18" s="15"/>
      <c r="AE18" s="15"/>
    </row>
    <row r="19" ht="15" spans="1:31">
      <c r="A19" s="36"/>
      <c r="B19" s="22" t="s">
        <v>26</v>
      </c>
      <c r="C19" s="37">
        <v>10</v>
      </c>
      <c r="D19" s="37">
        <v>23.3</v>
      </c>
      <c r="E19" s="38">
        <f t="shared" si="6"/>
        <v>47.998</v>
      </c>
      <c r="F19" s="39">
        <f t="shared" si="1"/>
        <v>52.4912511734</v>
      </c>
      <c r="G19" s="46"/>
      <c r="H19" s="22" t="s">
        <v>28</v>
      </c>
      <c r="I19" s="37">
        <v>10</v>
      </c>
      <c r="J19" s="37">
        <v>23.5</v>
      </c>
      <c r="K19" s="38">
        <f t="shared" si="2"/>
        <v>48.41</v>
      </c>
      <c r="L19" s="38">
        <f t="shared" si="3"/>
        <v>52.941819853</v>
      </c>
      <c r="M19" s="46"/>
      <c r="N19" s="10" t="s">
        <v>30</v>
      </c>
      <c r="O19" s="37">
        <v>10</v>
      </c>
      <c r="P19" s="41">
        <v>23.4</v>
      </c>
      <c r="Q19" s="38">
        <f t="shared" si="4"/>
        <v>48.204</v>
      </c>
      <c r="R19" s="42">
        <f t="shared" si="5"/>
        <v>52.7165355132</v>
      </c>
      <c r="S19" s="46"/>
      <c r="T19" s="10"/>
      <c r="U19" s="37"/>
      <c r="V19" s="41"/>
      <c r="W19" s="38"/>
      <c r="X19" s="42"/>
      <c r="Y19" s="14"/>
      <c r="AA19" s="15"/>
      <c r="AB19" s="15"/>
      <c r="AC19" s="15"/>
      <c r="AD19" s="15"/>
      <c r="AE19" s="15"/>
    </row>
    <row r="20" ht="15" spans="1:31">
      <c r="A20" s="36"/>
      <c r="B20" s="22" t="s">
        <v>26</v>
      </c>
      <c r="C20" s="37">
        <v>11</v>
      </c>
      <c r="D20" s="37">
        <v>23.4</v>
      </c>
      <c r="E20" s="38">
        <f t="shared" si="6"/>
        <v>48.204</v>
      </c>
      <c r="F20" s="39">
        <f t="shared" si="1"/>
        <v>52.7165355132</v>
      </c>
      <c r="G20" s="46"/>
      <c r="H20" s="22" t="s">
        <v>28</v>
      </c>
      <c r="I20" s="37">
        <v>11</v>
      </c>
      <c r="J20" s="37">
        <v>23.6</v>
      </c>
      <c r="K20" s="38">
        <f t="shared" si="2"/>
        <v>48.616</v>
      </c>
      <c r="L20" s="38">
        <f t="shared" si="3"/>
        <v>53.1671041928</v>
      </c>
      <c r="M20" s="46"/>
      <c r="N20" s="10" t="s">
        <v>30</v>
      </c>
      <c r="O20" s="37">
        <v>11</v>
      </c>
      <c r="P20" s="41">
        <v>23.5</v>
      </c>
      <c r="Q20" s="38">
        <f t="shared" si="4"/>
        <v>48.41</v>
      </c>
      <c r="R20" s="42">
        <f t="shared" si="5"/>
        <v>52.941819853</v>
      </c>
      <c r="S20" s="46"/>
      <c r="T20" s="10"/>
      <c r="U20" s="37"/>
      <c r="V20" s="41"/>
      <c r="W20" s="38"/>
      <c r="X20" s="42"/>
      <c r="Y20" s="14"/>
      <c r="AA20" s="15"/>
      <c r="AB20" s="15"/>
      <c r="AC20" s="15"/>
      <c r="AD20" s="15"/>
      <c r="AE20" s="15"/>
    </row>
    <row r="21" ht="15" spans="1:31">
      <c r="A21" s="36"/>
      <c r="B21" s="22" t="s">
        <v>26</v>
      </c>
      <c r="C21" s="37">
        <v>12</v>
      </c>
      <c r="D21" s="37">
        <v>23.4</v>
      </c>
      <c r="E21" s="38">
        <f t="shared" si="6"/>
        <v>48.204</v>
      </c>
      <c r="F21" s="39">
        <f t="shared" si="1"/>
        <v>52.7165355132</v>
      </c>
      <c r="G21" s="46"/>
      <c r="H21" s="22" t="s">
        <v>28</v>
      </c>
      <c r="I21" s="37">
        <v>12</v>
      </c>
      <c r="J21" s="37">
        <v>23.7</v>
      </c>
      <c r="K21" s="38">
        <f t="shared" si="2"/>
        <v>48.822</v>
      </c>
      <c r="L21" s="38">
        <f t="shared" si="3"/>
        <v>53.3923885326</v>
      </c>
      <c r="M21" s="46"/>
      <c r="N21" s="10" t="s">
        <v>30</v>
      </c>
      <c r="O21" s="37">
        <v>12</v>
      </c>
      <c r="P21" s="41">
        <v>23.5</v>
      </c>
      <c r="Q21" s="38">
        <f t="shared" si="4"/>
        <v>48.41</v>
      </c>
      <c r="R21" s="42">
        <f t="shared" si="5"/>
        <v>52.941819853</v>
      </c>
      <c r="S21" s="46"/>
      <c r="T21" s="10"/>
      <c r="U21" s="37"/>
      <c r="V21" s="41"/>
      <c r="W21" s="38"/>
      <c r="X21" s="42"/>
      <c r="Y21" s="14"/>
      <c r="AA21" s="15"/>
      <c r="AB21" s="15"/>
      <c r="AC21" s="15"/>
      <c r="AD21" s="15"/>
      <c r="AE21" s="15"/>
    </row>
    <row r="22" ht="15" spans="1:31">
      <c r="A22" s="36"/>
      <c r="B22" s="22" t="s">
        <v>26</v>
      </c>
      <c r="C22" s="37">
        <v>13</v>
      </c>
      <c r="D22" s="37">
        <v>23.5</v>
      </c>
      <c r="E22" s="38">
        <f t="shared" si="6"/>
        <v>48.41</v>
      </c>
      <c r="F22" s="39">
        <f t="shared" si="1"/>
        <v>52.941819853</v>
      </c>
      <c r="G22" s="46"/>
      <c r="H22" s="22" t="s">
        <v>28</v>
      </c>
      <c r="I22" s="37">
        <v>13</v>
      </c>
      <c r="J22" s="37">
        <v>23.7</v>
      </c>
      <c r="K22" s="38">
        <f t="shared" si="2"/>
        <v>48.822</v>
      </c>
      <c r="L22" s="38">
        <f t="shared" si="3"/>
        <v>53.3923885326</v>
      </c>
      <c r="M22" s="46"/>
      <c r="N22" s="10" t="s">
        <v>30</v>
      </c>
      <c r="O22" s="37">
        <v>13</v>
      </c>
      <c r="P22" s="41">
        <v>23.6</v>
      </c>
      <c r="Q22" s="38">
        <f t="shared" si="4"/>
        <v>48.616</v>
      </c>
      <c r="R22" s="42">
        <f t="shared" si="5"/>
        <v>53.1671041928</v>
      </c>
      <c r="S22" s="46"/>
      <c r="T22" s="10"/>
      <c r="U22" s="37"/>
      <c r="V22" s="41"/>
      <c r="W22" s="38"/>
      <c r="X22" s="42"/>
      <c r="Y22" s="14"/>
      <c r="AA22" s="15"/>
      <c r="AB22" s="15"/>
      <c r="AC22" s="15"/>
      <c r="AD22" s="15"/>
      <c r="AE22" s="15"/>
    </row>
    <row r="23" ht="15" spans="1:31">
      <c r="A23" s="36"/>
      <c r="B23" s="22" t="s">
        <v>26</v>
      </c>
      <c r="C23" s="37">
        <v>14</v>
      </c>
      <c r="D23" s="37">
        <v>23.5</v>
      </c>
      <c r="E23" s="38">
        <f t="shared" si="6"/>
        <v>48.41</v>
      </c>
      <c r="F23" s="39">
        <f t="shared" si="1"/>
        <v>52.941819853</v>
      </c>
      <c r="G23" s="46"/>
      <c r="H23" s="22" t="s">
        <v>28</v>
      </c>
      <c r="I23" s="37">
        <v>14</v>
      </c>
      <c r="J23" s="37">
        <v>23.8</v>
      </c>
      <c r="K23" s="38">
        <f t="shared" si="2"/>
        <v>49.028</v>
      </c>
      <c r="L23" s="38">
        <f t="shared" si="3"/>
        <v>53.6176728724</v>
      </c>
      <c r="M23" s="46"/>
      <c r="N23" s="10" t="s">
        <v>30</v>
      </c>
      <c r="O23" s="37">
        <v>14</v>
      </c>
      <c r="P23" s="41">
        <v>23.6</v>
      </c>
      <c r="Q23" s="38">
        <f t="shared" si="4"/>
        <v>48.616</v>
      </c>
      <c r="R23" s="42">
        <f t="shared" si="5"/>
        <v>53.1671041928</v>
      </c>
      <c r="S23" s="46"/>
      <c r="T23" s="10"/>
      <c r="U23" s="37"/>
      <c r="V23" s="41"/>
      <c r="W23" s="38"/>
      <c r="X23" s="42"/>
      <c r="Y23" s="14"/>
      <c r="AA23" s="15"/>
      <c r="AB23" s="15"/>
      <c r="AC23" s="15"/>
      <c r="AD23" s="15"/>
      <c r="AE23" s="15"/>
    </row>
    <row r="24" ht="15" spans="1:31">
      <c r="A24" s="36"/>
      <c r="B24" s="22" t="s">
        <v>26</v>
      </c>
      <c r="C24" s="37">
        <v>15</v>
      </c>
      <c r="D24" s="37">
        <v>23.5</v>
      </c>
      <c r="E24" s="38">
        <f t="shared" si="6"/>
        <v>48.41</v>
      </c>
      <c r="F24" s="39">
        <f t="shared" si="1"/>
        <v>52.941819853</v>
      </c>
      <c r="G24" s="46"/>
      <c r="H24" s="22" t="s">
        <v>28</v>
      </c>
      <c r="I24" s="37">
        <v>15</v>
      </c>
      <c r="J24" s="37">
        <v>23.8</v>
      </c>
      <c r="K24" s="38">
        <f t="shared" si="2"/>
        <v>49.028</v>
      </c>
      <c r="L24" s="38">
        <f t="shared" si="3"/>
        <v>53.6176728724</v>
      </c>
      <c r="M24" s="46"/>
      <c r="N24" s="10" t="s">
        <v>30</v>
      </c>
      <c r="O24" s="37">
        <v>15</v>
      </c>
      <c r="P24" s="41">
        <v>23.6</v>
      </c>
      <c r="Q24" s="38">
        <f t="shared" si="4"/>
        <v>48.616</v>
      </c>
      <c r="R24" s="42">
        <f t="shared" si="5"/>
        <v>53.1671041928</v>
      </c>
      <c r="S24" s="46"/>
      <c r="T24" s="10"/>
      <c r="U24" s="37"/>
      <c r="V24" s="41"/>
      <c r="W24" s="38"/>
      <c r="X24" s="42"/>
      <c r="Y24" s="14"/>
      <c r="AA24" s="15"/>
      <c r="AB24" s="15"/>
      <c r="AC24" s="15"/>
      <c r="AD24" s="15"/>
      <c r="AE24" s="15"/>
    </row>
    <row r="25" ht="15" spans="1:31">
      <c r="A25" s="36"/>
      <c r="B25" s="22" t="s">
        <v>26</v>
      </c>
      <c r="C25" s="37">
        <v>16</v>
      </c>
      <c r="D25" s="37">
        <v>23.5</v>
      </c>
      <c r="E25" s="38">
        <f t="shared" si="6"/>
        <v>48.41</v>
      </c>
      <c r="F25" s="39">
        <f t="shared" si="1"/>
        <v>52.941819853</v>
      </c>
      <c r="G25" s="46"/>
      <c r="H25" s="22" t="s">
        <v>28</v>
      </c>
      <c r="I25" s="37">
        <v>16</v>
      </c>
      <c r="J25" s="37">
        <v>23.8</v>
      </c>
      <c r="K25" s="38">
        <f t="shared" si="2"/>
        <v>49.028</v>
      </c>
      <c r="L25" s="38">
        <f t="shared" si="3"/>
        <v>53.6176728724</v>
      </c>
      <c r="M25" s="46"/>
      <c r="N25" s="10" t="s">
        <v>30</v>
      </c>
      <c r="O25" s="37">
        <v>16</v>
      </c>
      <c r="P25" s="41">
        <v>23.6</v>
      </c>
      <c r="Q25" s="38">
        <f t="shared" si="4"/>
        <v>48.616</v>
      </c>
      <c r="R25" s="42">
        <f t="shared" si="5"/>
        <v>53.1671041928</v>
      </c>
      <c r="S25" s="46"/>
      <c r="T25" s="10"/>
      <c r="U25" s="37"/>
      <c r="V25" s="41"/>
      <c r="W25" s="38"/>
      <c r="X25" s="42"/>
      <c r="Y25" s="14"/>
      <c r="AA25" s="15"/>
      <c r="AB25" s="15"/>
      <c r="AC25" s="15"/>
      <c r="AD25" s="15"/>
      <c r="AE25" s="15"/>
    </row>
    <row r="26" ht="15" spans="1:31">
      <c r="A26" s="36"/>
      <c r="B26" s="22" t="s">
        <v>26</v>
      </c>
      <c r="C26" s="37">
        <v>17</v>
      </c>
      <c r="D26" s="37">
        <v>23.5</v>
      </c>
      <c r="E26" s="38">
        <f t="shared" si="6"/>
        <v>48.41</v>
      </c>
      <c r="F26" s="39">
        <f t="shared" si="1"/>
        <v>52.941819853</v>
      </c>
      <c r="G26" s="46"/>
      <c r="H26" s="22" t="s">
        <v>28</v>
      </c>
      <c r="I26" s="37">
        <v>17</v>
      </c>
      <c r="J26" s="37">
        <v>23.9</v>
      </c>
      <c r="K26" s="38">
        <f t="shared" si="2"/>
        <v>49.234</v>
      </c>
      <c r="L26" s="38">
        <f t="shared" si="3"/>
        <v>53.8429572122</v>
      </c>
      <c r="M26" s="46"/>
      <c r="N26" s="10" t="s">
        <v>30</v>
      </c>
      <c r="O26" s="37">
        <v>17</v>
      </c>
      <c r="P26" s="41">
        <v>23.6</v>
      </c>
      <c r="Q26" s="38">
        <f t="shared" si="4"/>
        <v>48.616</v>
      </c>
      <c r="R26" s="42">
        <f t="shared" si="5"/>
        <v>53.1671041928</v>
      </c>
      <c r="S26" s="46"/>
      <c r="T26" s="10"/>
      <c r="U26" s="37"/>
      <c r="V26" s="41"/>
      <c r="W26" s="38"/>
      <c r="X26" s="42"/>
    </row>
    <row r="27" ht="15" spans="1:31">
      <c r="A27" s="36"/>
      <c r="B27" s="22" t="s">
        <v>26</v>
      </c>
      <c r="C27" s="37">
        <v>18</v>
      </c>
      <c r="D27" s="37">
        <v>23.6</v>
      </c>
      <c r="E27" s="38">
        <f t="shared" si="6"/>
        <v>48.616</v>
      </c>
      <c r="F27" s="39">
        <f t="shared" si="1"/>
        <v>53.1671041928</v>
      </c>
      <c r="G27" s="46"/>
      <c r="H27" s="22" t="s">
        <v>28</v>
      </c>
      <c r="I27" s="37">
        <v>18</v>
      </c>
      <c r="J27" s="37">
        <v>26.5</v>
      </c>
      <c r="K27" s="38">
        <f t="shared" si="2"/>
        <v>54.59</v>
      </c>
      <c r="L27" s="38">
        <f t="shared" si="3"/>
        <v>59.700350047</v>
      </c>
      <c r="M27" s="46"/>
      <c r="N27" s="10" t="s">
        <v>30</v>
      </c>
      <c r="O27" s="37">
        <v>18</v>
      </c>
      <c r="P27" s="41">
        <v>23.7</v>
      </c>
      <c r="Q27" s="38">
        <f t="shared" si="4"/>
        <v>48.822</v>
      </c>
      <c r="R27" s="42">
        <f t="shared" si="5"/>
        <v>53.3923885326</v>
      </c>
      <c r="S27" s="46"/>
      <c r="T27" s="10"/>
      <c r="U27" s="37"/>
      <c r="V27" s="41"/>
      <c r="W27" s="38"/>
      <c r="X27" s="42"/>
    </row>
    <row r="28" ht="15" spans="1:31">
      <c r="A28" s="36"/>
      <c r="B28" s="22" t="s">
        <v>26</v>
      </c>
      <c r="C28" s="37">
        <v>19</v>
      </c>
      <c r="D28" s="37">
        <v>23.6</v>
      </c>
      <c r="E28" s="38">
        <f t="shared" si="6"/>
        <v>48.616</v>
      </c>
      <c r="F28" s="39">
        <f t="shared" si="1"/>
        <v>53.1671041928</v>
      </c>
      <c r="G28" s="46"/>
      <c r="H28" s="22" t="s">
        <v>28</v>
      </c>
      <c r="I28" s="37">
        <v>19</v>
      </c>
      <c r="J28" s="37">
        <v>27.7</v>
      </c>
      <c r="K28" s="38">
        <f t="shared" si="2"/>
        <v>57.062</v>
      </c>
      <c r="L28" s="38">
        <f t="shared" si="3"/>
        <v>62.4037621246</v>
      </c>
      <c r="M28" s="46"/>
      <c r="N28" s="10" t="s">
        <v>30</v>
      </c>
      <c r="O28" s="37">
        <v>19</v>
      </c>
      <c r="P28" s="41">
        <v>23.7</v>
      </c>
      <c r="Q28" s="38">
        <f t="shared" si="4"/>
        <v>48.822</v>
      </c>
      <c r="R28" s="42">
        <f t="shared" si="5"/>
        <v>53.3923885326</v>
      </c>
      <c r="S28" s="46"/>
      <c r="T28" s="10"/>
      <c r="U28" s="37"/>
      <c r="V28" s="41"/>
      <c r="W28" s="38"/>
      <c r="X28" s="42"/>
    </row>
    <row r="29" ht="15" spans="1:31">
      <c r="A29" s="36"/>
      <c r="B29" s="22" t="s">
        <v>26</v>
      </c>
      <c r="C29" s="37">
        <v>20</v>
      </c>
      <c r="D29" s="50">
        <v>23.6</v>
      </c>
      <c r="E29" s="38">
        <f t="shared" si="6"/>
        <v>48.616</v>
      </c>
      <c r="F29" s="39">
        <f t="shared" si="1"/>
        <v>53.1671041928</v>
      </c>
      <c r="G29" s="46"/>
      <c r="H29" s="22"/>
      <c r="I29" s="37">
        <v>20</v>
      </c>
      <c r="J29" s="37">
        <v>20.4</v>
      </c>
      <c r="K29" s="38">
        <f t="shared" si="2"/>
        <v>42.024</v>
      </c>
      <c r="L29" s="38">
        <f t="shared" si="3"/>
        <v>45.9580053192</v>
      </c>
      <c r="M29" s="46"/>
      <c r="N29" s="10" t="s">
        <v>30</v>
      </c>
      <c r="O29" s="37">
        <v>20</v>
      </c>
      <c r="P29" s="41">
        <v>23.7</v>
      </c>
      <c r="Q29" s="38">
        <f t="shared" si="4"/>
        <v>48.822</v>
      </c>
      <c r="R29" s="42">
        <f t="shared" si="5"/>
        <v>53.3923885326</v>
      </c>
      <c r="S29" s="46"/>
      <c r="T29" s="10"/>
      <c r="U29" s="37"/>
      <c r="V29" s="41"/>
      <c r="W29" s="38"/>
      <c r="X29" s="42"/>
    </row>
    <row r="30" ht="15" spans="1:31">
      <c r="A30" s="36"/>
      <c r="B30" s="22" t="s">
        <v>26</v>
      </c>
      <c r="C30" s="37">
        <v>21</v>
      </c>
      <c r="D30" s="37">
        <v>23.6</v>
      </c>
      <c r="E30" s="38">
        <f t="shared" si="6"/>
        <v>48.616</v>
      </c>
      <c r="F30" s="39">
        <f t="shared" si="1"/>
        <v>53.1671041928</v>
      </c>
      <c r="G30" s="46"/>
      <c r="H30" s="22"/>
      <c r="I30" s="37"/>
      <c r="J30" s="37"/>
      <c r="K30" s="38"/>
      <c r="L30" s="38"/>
      <c r="M30" s="46"/>
      <c r="N30" s="10" t="s">
        <v>30</v>
      </c>
      <c r="O30" s="37">
        <v>21</v>
      </c>
      <c r="P30" s="41">
        <v>23.8</v>
      </c>
      <c r="Q30" s="38">
        <f t="shared" si="4"/>
        <v>49.028</v>
      </c>
      <c r="R30" s="42">
        <f t="shared" si="5"/>
        <v>53.6176728724</v>
      </c>
      <c r="S30" s="46"/>
      <c r="T30" s="10"/>
      <c r="U30" s="37"/>
      <c r="V30" s="41"/>
      <c r="W30" s="38"/>
      <c r="X30" s="42"/>
    </row>
    <row r="31" ht="15" spans="1:31">
      <c r="A31" s="36"/>
      <c r="B31" s="22" t="s">
        <v>26</v>
      </c>
      <c r="C31" s="37">
        <v>22</v>
      </c>
      <c r="D31" s="37">
        <v>23.7</v>
      </c>
      <c r="E31" s="38">
        <f t="shared" si="6"/>
        <v>48.822</v>
      </c>
      <c r="F31" s="39">
        <f t="shared" si="1"/>
        <v>53.3923885326</v>
      </c>
      <c r="G31" s="46"/>
      <c r="H31" s="22"/>
      <c r="I31" s="37"/>
      <c r="J31" s="37"/>
      <c r="K31" s="38"/>
      <c r="L31" s="38"/>
      <c r="M31" s="46"/>
      <c r="N31" s="10" t="s">
        <v>30</v>
      </c>
      <c r="O31" s="37">
        <v>22</v>
      </c>
      <c r="P31" s="41">
        <v>23.8</v>
      </c>
      <c r="Q31" s="38">
        <f t="shared" si="4"/>
        <v>49.028</v>
      </c>
      <c r="R31" s="42">
        <f t="shared" si="5"/>
        <v>53.6176728724</v>
      </c>
      <c r="S31" s="46"/>
      <c r="T31" s="10"/>
      <c r="U31" s="37"/>
      <c r="V31" s="41"/>
      <c r="W31" s="38"/>
      <c r="X31" s="42"/>
    </row>
    <row r="32" ht="15" spans="1:31">
      <c r="A32" s="36"/>
      <c r="B32" s="22" t="s">
        <v>26</v>
      </c>
      <c r="C32" s="37">
        <v>23</v>
      </c>
      <c r="D32" s="37">
        <v>23.7</v>
      </c>
      <c r="E32" s="38">
        <f t="shared" si="6"/>
        <v>48.822</v>
      </c>
      <c r="F32" s="39">
        <f t="shared" si="1"/>
        <v>53.3923885326</v>
      </c>
      <c r="G32" s="46"/>
      <c r="H32" s="51"/>
      <c r="I32" s="37"/>
      <c r="J32" s="37"/>
      <c r="K32" s="37"/>
      <c r="L32" s="38"/>
      <c r="M32" s="46"/>
      <c r="N32" s="10" t="s">
        <v>30</v>
      </c>
      <c r="O32" s="37">
        <v>23</v>
      </c>
      <c r="P32" s="41">
        <v>23.8</v>
      </c>
      <c r="Q32" s="38">
        <f t="shared" si="4"/>
        <v>49.028</v>
      </c>
      <c r="R32" s="42">
        <f t="shared" si="5"/>
        <v>53.6176728724</v>
      </c>
      <c r="S32" s="46"/>
      <c r="T32" s="10"/>
      <c r="U32" s="37"/>
      <c r="V32" s="41"/>
      <c r="W32" s="38"/>
      <c r="X32" s="42"/>
    </row>
    <row r="33" ht="15" spans="1:34">
      <c r="A33" s="36"/>
      <c r="B33" s="22" t="s">
        <v>26</v>
      </c>
      <c r="C33" s="37">
        <v>24</v>
      </c>
      <c r="D33" s="37">
        <v>23.7</v>
      </c>
      <c r="E33" s="38">
        <f t="shared" si="6"/>
        <v>48.822</v>
      </c>
      <c r="F33" s="39">
        <f t="shared" si="1"/>
        <v>53.3923885326</v>
      </c>
      <c r="G33" s="46"/>
      <c r="H33" s="52"/>
      <c r="I33" s="53"/>
      <c r="J33" s="37"/>
      <c r="K33" s="37"/>
      <c r="L33" s="38"/>
      <c r="M33" s="46"/>
      <c r="N33" s="10" t="s">
        <v>30</v>
      </c>
      <c r="O33" s="37">
        <v>24</v>
      </c>
      <c r="P33" s="41">
        <v>23.8</v>
      </c>
      <c r="Q33" s="38">
        <f t="shared" si="4"/>
        <v>49.028</v>
      </c>
      <c r="R33" s="42">
        <f t="shared" si="5"/>
        <v>53.6176728724</v>
      </c>
      <c r="S33" s="46"/>
      <c r="T33" s="10"/>
      <c r="U33" s="37"/>
      <c r="V33" s="41"/>
      <c r="W33" s="38"/>
      <c r="X33" s="42"/>
    </row>
    <row r="34" ht="15" spans="1:34">
      <c r="A34" s="36"/>
      <c r="B34" s="22" t="s">
        <v>26</v>
      </c>
      <c r="C34" s="37">
        <v>25</v>
      </c>
      <c r="D34" s="37">
        <v>25.5</v>
      </c>
      <c r="E34" s="38">
        <f t="shared" si="6"/>
        <v>52.53</v>
      </c>
      <c r="F34" s="39">
        <f t="shared" si="1"/>
        <v>57.447506649</v>
      </c>
      <c r="G34" s="46"/>
      <c r="H34" s="52"/>
      <c r="I34" s="41"/>
      <c r="J34" s="37"/>
      <c r="K34" s="37"/>
      <c r="L34" s="38"/>
      <c r="M34" s="46"/>
      <c r="N34" s="10" t="s">
        <v>30</v>
      </c>
      <c r="O34" s="37">
        <v>25</v>
      </c>
      <c r="P34" s="41">
        <v>26.1</v>
      </c>
      <c r="Q34" s="38">
        <f t="shared" si="4"/>
        <v>53.766</v>
      </c>
      <c r="R34" s="42">
        <f t="shared" si="5"/>
        <v>58.7992126878</v>
      </c>
      <c r="S34" s="46"/>
      <c r="T34" s="10"/>
      <c r="U34" s="37"/>
      <c r="V34" s="41"/>
      <c r="W34" s="38"/>
      <c r="X34" s="42"/>
    </row>
    <row r="35" ht="15" spans="1:34">
      <c r="A35" s="36"/>
      <c r="B35" s="54"/>
      <c r="C35" s="37"/>
      <c r="D35" s="37"/>
      <c r="E35" s="38"/>
      <c r="F35" s="39"/>
      <c r="G35" s="46"/>
      <c r="H35" s="52"/>
      <c r="I35" s="41"/>
      <c r="J35" s="37"/>
      <c r="K35" s="37"/>
      <c r="L35" s="38"/>
      <c r="M35" s="46"/>
      <c r="N35" s="10" t="s">
        <v>30</v>
      </c>
      <c r="O35" s="37">
        <v>26</v>
      </c>
      <c r="P35" s="41">
        <v>26.1</v>
      </c>
      <c r="Q35" s="38">
        <f t="shared" si="4"/>
        <v>53.766</v>
      </c>
      <c r="R35" s="42">
        <f t="shared" si="5"/>
        <v>58.7992126878</v>
      </c>
      <c r="S35" s="46"/>
      <c r="T35" s="55"/>
      <c r="U35" s="51"/>
      <c r="V35" s="41"/>
      <c r="W35" s="23"/>
      <c r="X35" s="23"/>
    </row>
    <row r="36" ht="15" spans="1:34">
      <c r="A36" s="36"/>
      <c r="B36" s="56"/>
      <c r="C36" s="57"/>
      <c r="D36" s="58"/>
      <c r="E36" s="59"/>
      <c r="F36" s="60"/>
      <c r="G36" s="46"/>
      <c r="H36" s="61"/>
      <c r="I36" s="62"/>
      <c r="J36" s="58"/>
      <c r="K36" s="58"/>
      <c r="L36" s="59"/>
      <c r="M36" s="46"/>
      <c r="N36" s="10" t="s">
        <v>30</v>
      </c>
      <c r="O36" s="37">
        <v>27</v>
      </c>
      <c r="P36" s="63">
        <v>21.6</v>
      </c>
      <c r="Q36" s="64">
        <f t="shared" si="4"/>
        <v>44.496</v>
      </c>
      <c r="R36" s="64">
        <f t="shared" si="5"/>
        <v>48.6614173968</v>
      </c>
      <c r="S36" s="46"/>
      <c r="T36" s="65"/>
      <c r="U36" s="62"/>
      <c r="V36" s="59"/>
      <c r="W36" s="58"/>
      <c r="X36" s="58"/>
    </row>
    <row r="37" ht="15" spans="1:34">
      <c r="A37" s="36"/>
      <c r="B37" s="56"/>
      <c r="C37" s="57"/>
      <c r="D37" s="58"/>
      <c r="E37" s="59"/>
      <c r="F37" s="60"/>
      <c r="G37" s="46"/>
      <c r="H37" s="61"/>
      <c r="I37" s="62"/>
      <c r="J37" s="58"/>
      <c r="K37" s="58"/>
      <c r="L37" s="59"/>
      <c r="M37" s="46"/>
      <c r="N37" s="10" t="s">
        <v>30</v>
      </c>
      <c r="O37" s="37">
        <v>28</v>
      </c>
      <c r="P37" s="63">
        <v>23.7</v>
      </c>
      <c r="Q37" s="64">
        <f t="shared" si="4"/>
        <v>48.822</v>
      </c>
      <c r="R37" s="64">
        <f t="shared" si="5"/>
        <v>53.3923885326</v>
      </c>
      <c r="S37" s="46"/>
      <c r="T37" s="65"/>
      <c r="U37" s="62"/>
      <c r="V37" s="59"/>
      <c r="W37" s="58"/>
      <c r="X37" s="58"/>
    </row>
    <row r="38" ht="13.5" spans="1:34">
      <c r="A38" s="36"/>
      <c r="B38" s="56" t="s">
        <v>35</v>
      </c>
      <c r="C38" s="57" t="s">
        <v>36</v>
      </c>
      <c r="D38" s="58" t="s">
        <v>37</v>
      </c>
      <c r="E38" s="58" t="s">
        <v>38</v>
      </c>
      <c r="F38" s="58" t="s">
        <v>39</v>
      </c>
      <c r="G38" s="33"/>
      <c r="H38" s="56"/>
      <c r="I38" s="57" t="s">
        <v>40</v>
      </c>
      <c r="J38" s="58" t="s">
        <v>41</v>
      </c>
      <c r="K38" s="58" t="s">
        <v>42</v>
      </c>
      <c r="L38" s="58" t="s">
        <v>43</v>
      </c>
      <c r="M38" s="33"/>
      <c r="N38" s="66"/>
      <c r="O38" s="57" t="s">
        <v>44</v>
      </c>
      <c r="P38" s="58" t="s">
        <v>45</v>
      </c>
      <c r="Q38" s="58" t="s">
        <v>46</v>
      </c>
      <c r="R38" s="58" t="s">
        <v>47</v>
      </c>
      <c r="S38" s="33"/>
      <c r="T38" s="66"/>
      <c r="U38" s="57" t="s">
        <v>48</v>
      </c>
      <c r="V38" s="58" t="s">
        <v>49</v>
      </c>
      <c r="W38" s="58" t="s">
        <v>50</v>
      </c>
      <c r="X38" s="58" t="s">
        <v>51</v>
      </c>
      <c r="Z38" s="67"/>
      <c r="AA38" s="67"/>
    </row>
    <row r="39" ht="15.75" spans="1:34">
      <c r="A39" s="68"/>
      <c r="B39" s="68"/>
      <c r="C39" s="68"/>
      <c r="D39" s="68"/>
      <c r="E39" s="68"/>
      <c r="F39" s="68"/>
      <c r="G39" s="68"/>
      <c r="H39" s="68"/>
      <c r="I39" s="68"/>
      <c r="J39" s="68"/>
      <c r="Z39" s="69" t="s">
        <v>52</v>
      </c>
      <c r="AA39" s="69"/>
      <c r="AB39" s="70" t="s">
        <v>53</v>
      </c>
      <c r="AC39" s="70" t="s">
        <v>54</v>
      </c>
      <c r="AD39" s="71" t="s">
        <v>55</v>
      </c>
      <c r="AE39" s="70" t="s">
        <v>56</v>
      </c>
      <c r="AF39" s="70"/>
      <c r="AG39" s="70"/>
      <c r="AH39" s="70"/>
    </row>
    <row r="40" spans="1:34">
      <c r="A40" s="72" t="s">
        <v>57</v>
      </c>
      <c r="B40" s="73"/>
      <c r="C40" s="73"/>
      <c r="D40" s="73">
        <f>D38+C38*0.3</f>
        <v>567.6</v>
      </c>
      <c r="E40" s="73"/>
      <c r="F40" s="73"/>
      <c r="G40" s="73"/>
      <c r="H40" s="73"/>
      <c r="I40" s="73"/>
      <c r="J40" s="73">
        <f>I38*0.3+J38</f>
        <v>460.8</v>
      </c>
      <c r="K40" s="74"/>
      <c r="L40" s="74"/>
      <c r="M40" s="74"/>
      <c r="N40" s="74"/>
      <c r="O40" s="74"/>
      <c r="P40" s="74">
        <f>0.3*O38+P38</f>
        <v>659</v>
      </c>
      <c r="Q40" s="74"/>
      <c r="R40" s="74"/>
      <c r="S40" s="74"/>
      <c r="T40" s="74"/>
      <c r="U40" s="74"/>
      <c r="V40" s="74">
        <f>0.3*U38+V38</f>
        <v>44.6</v>
      </c>
      <c r="W40" s="74"/>
      <c r="X40" s="75"/>
      <c r="Z40" s="69"/>
      <c r="AA40" s="69"/>
      <c r="AB40" s="76">
        <f>SUM(D40,J40,P40,V40)</f>
        <v>1732</v>
      </c>
      <c r="AC40" s="77">
        <v>737</v>
      </c>
      <c r="AD40" s="78">
        <f>SUM(AB40:AC40)</f>
        <v>2469</v>
      </c>
      <c r="AE40" s="76" t="s">
        <v>58</v>
      </c>
      <c r="AF40" s="76"/>
      <c r="AG40" s="76"/>
      <c r="AH40" s="76"/>
    </row>
    <row r="41" spans="1:34">
      <c r="A41" s="68"/>
      <c r="B41" s="68"/>
      <c r="C41" s="68"/>
      <c r="D41" s="68"/>
      <c r="E41" s="68"/>
      <c r="F41" s="68"/>
      <c r="G41" s="68"/>
      <c r="H41" s="68"/>
      <c r="I41" s="68"/>
      <c r="J41" s="68"/>
      <c r="Z41" s="69"/>
      <c r="AA41" s="69"/>
      <c r="AB41" s="76" t="s">
        <v>59</v>
      </c>
      <c r="AC41" s="76">
        <f>13.716/2.36</f>
        <v>5.81186440677966</v>
      </c>
      <c r="AD41" s="79">
        <f>AD40-AC41</f>
        <v>2463.18813559322</v>
      </c>
      <c r="AE41" s="76"/>
      <c r="AF41" s="76"/>
      <c r="AG41" s="76"/>
      <c r="AH41" s="76"/>
    </row>
    <row r="42" ht="13.5" spans="1:34">
      <c r="A42" s="68"/>
      <c r="B42" s="68"/>
      <c r="C42" s="68"/>
      <c r="D42" s="68"/>
      <c r="E42" s="68"/>
      <c r="F42" s="68"/>
      <c r="G42" s="68"/>
      <c r="H42" s="68"/>
      <c r="I42" s="68"/>
      <c r="J42" s="68"/>
      <c r="AD42" s="80"/>
    </row>
    <row r="43" ht="13.5" spans="1:34">
      <c r="A43" s="68"/>
      <c r="B43" s="68"/>
      <c r="C43" s="68"/>
      <c r="D43" s="68"/>
      <c r="E43" s="68"/>
      <c r="F43" s="68"/>
      <c r="G43" s="68"/>
      <c r="H43" s="68"/>
      <c r="I43" s="68"/>
      <c r="J43" s="68"/>
    </row>
    <row r="44" ht="13.5" spans="1:34">
      <c r="A44" s="68"/>
      <c r="B44" s="68"/>
      <c r="C44" s="68"/>
      <c r="D44" s="68"/>
      <c r="E44" s="68"/>
      <c r="F44" s="68"/>
      <c r="G44" s="68"/>
      <c r="H44" s="68"/>
      <c r="I44" s="68"/>
      <c r="J44" s="68"/>
    </row>
    <row r="45" ht="13.5" spans="1:34">
      <c r="A45" s="68"/>
      <c r="B45" s="68"/>
      <c r="C45" s="68"/>
      <c r="D45" s="68"/>
      <c r="E45" s="68"/>
      <c r="F45" s="68"/>
      <c r="G45" s="68"/>
      <c r="H45" s="68"/>
      <c r="I45" s="68"/>
      <c r="J45" s="68"/>
    </row>
    <row r="46" ht="13.5" spans="1:34">
      <c r="A46" s="68"/>
      <c r="B46" s="68"/>
      <c r="C46" s="68"/>
      <c r="D46" s="68"/>
      <c r="E46" s="68"/>
      <c r="F46" s="68"/>
      <c r="G46" s="68"/>
      <c r="H46" s="68"/>
      <c r="I46" s="68"/>
      <c r="J46" s="68"/>
    </row>
    <row r="47" ht="13.5" spans="1:34">
      <c r="A47" s="68"/>
      <c r="B47" s="68"/>
      <c r="C47" s="68"/>
      <c r="D47" s="68"/>
      <c r="E47" s="68"/>
      <c r="F47" s="68"/>
      <c r="G47" s="68"/>
      <c r="H47" s="68"/>
      <c r="I47" s="68"/>
      <c r="J47" s="68"/>
    </row>
    <row r="48" ht="13.5" spans="1:34">
      <c r="A48" s="68"/>
      <c r="B48" s="68"/>
      <c r="C48" s="68"/>
      <c r="D48" s="68"/>
      <c r="E48" s="68"/>
      <c r="F48" s="68"/>
      <c r="G48" s="68"/>
      <c r="H48" s="68"/>
      <c r="I48" s="68"/>
      <c r="J48" s="68"/>
    </row>
    <row r="49" ht="13.5" spans="1:10">
      <c r="A49" s="68"/>
      <c r="B49" s="68"/>
      <c r="C49" s="68"/>
      <c r="D49" s="68"/>
      <c r="E49" s="68"/>
      <c r="F49" s="68"/>
      <c r="G49" s="68"/>
      <c r="H49" s="68"/>
      <c r="I49" s="68"/>
      <c r="J49" s="68"/>
    </row>
    <row r="50" ht="13.5" spans="1:10">
      <c r="A50" s="68"/>
      <c r="B50" s="68"/>
      <c r="C50" s="68"/>
      <c r="D50" s="68"/>
      <c r="E50" s="68"/>
      <c r="F50" s="68"/>
      <c r="G50" s="68"/>
      <c r="H50" s="68"/>
      <c r="I50" s="68"/>
      <c r="J50" s="68"/>
    </row>
    <row r="51" ht="13.5" spans="1:10">
      <c r="A51" s="68"/>
      <c r="B51" s="68"/>
      <c r="C51" s="68"/>
      <c r="D51" s="68"/>
      <c r="E51" s="68"/>
      <c r="F51" s="68"/>
      <c r="G51" s="68"/>
      <c r="H51" s="68"/>
      <c r="I51" s="68"/>
      <c r="J51" s="68"/>
    </row>
    <row r="52" ht="13.5" spans="1:10">
      <c r="A52" s="68"/>
      <c r="B52" s="68"/>
      <c r="C52" s="68"/>
      <c r="D52" s="68"/>
      <c r="E52" s="68"/>
      <c r="F52" s="68"/>
      <c r="G52" s="68"/>
      <c r="H52" s="68"/>
      <c r="I52" s="68"/>
      <c r="J52" s="68"/>
    </row>
    <row r="53" ht="13.5" spans="1:10">
      <c r="A53" s="68"/>
      <c r="B53" s="68"/>
      <c r="C53" s="68"/>
      <c r="D53" s="68"/>
      <c r="E53" s="68"/>
      <c r="F53" s="68"/>
      <c r="G53" s="68"/>
      <c r="H53" s="68"/>
      <c r="I53" s="68"/>
      <c r="J53" s="68"/>
    </row>
    <row r="54" ht="13.5" spans="1:10">
      <c r="A54" s="68"/>
      <c r="B54" s="68"/>
      <c r="C54" s="68"/>
      <c r="D54" s="68"/>
      <c r="E54" s="68"/>
      <c r="F54" s="68"/>
      <c r="G54" s="68"/>
      <c r="H54" s="68"/>
      <c r="I54" s="68"/>
      <c r="J54" s="68"/>
    </row>
    <row r="55" ht="13.5" spans="1:10">
      <c r="A55" s="68"/>
      <c r="B55" s="68"/>
      <c r="C55" s="68"/>
      <c r="D55" s="68"/>
      <c r="E55" s="68"/>
      <c r="F55" s="68"/>
      <c r="G55" s="68"/>
      <c r="H55" s="68"/>
      <c r="I55" s="68"/>
      <c r="J55" s="68"/>
    </row>
    <row r="56" ht="13.5" spans="1:10">
      <c r="A56" s="68"/>
      <c r="B56" s="68"/>
      <c r="C56" s="68"/>
      <c r="D56" s="68"/>
      <c r="E56" s="68"/>
      <c r="F56" s="68"/>
      <c r="G56" s="68"/>
      <c r="H56" s="68"/>
      <c r="I56" s="68"/>
      <c r="J56" s="68"/>
    </row>
  </sheetData>
  <mergeCells count="20">
    <mergeCell ref="A5:F5"/>
    <mergeCell ref="G5:O5"/>
    <mergeCell ref="P5:X5"/>
    <mergeCell ref="B8:X8"/>
    <mergeCell ref="Z10:AE10"/>
    <mergeCell ref="AA12:AE12"/>
    <mergeCell ref="Z38:AA38"/>
    <mergeCell ref="AE39:AH39"/>
    <mergeCell ref="A10:A38"/>
    <mergeCell ref="G10:G38"/>
    <mergeCell ref="M10:M38"/>
    <mergeCell ref="S10:S38"/>
    <mergeCell ref="AD6:AD9"/>
    <mergeCell ref="AE6:AE9"/>
    <mergeCell ref="A6:F7"/>
    <mergeCell ref="AA13:AE25"/>
    <mergeCell ref="G6:O7"/>
    <mergeCell ref="P6:X7"/>
    <mergeCell ref="Z39:AA41"/>
    <mergeCell ref="AE40:AH41"/>
  </mergeCells>
  <pageMargins left="0.75" right="0.75" top="1" bottom="1" header="0.5" footer="0.5"/>
  <pageSetup paperSize="9" orientation="portrait"/>
  <headerFooter/>
  <ignoredErrors>
    <ignoredError sqref="F10 W10:X10 T10:U10 O10:R10 I10:L10 F11:G28 G38:H38 M38:N38 S38:T38 E35:M35 G32:M34 F30:M31 F29:H29 O12:X21 P22:X31 P32:Q33 S32:X33 P34:X34 P35:Q35 S35:X35 U11:X11 O11:S11 M28:M29 J28:K28 I11:M21 J22:M27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dovmasnj</cp:lastModifiedBy>
  <dcterms:created xsi:type="dcterms:W3CDTF">2025-09-26T01:53:00Z</dcterms:created>
  <dcterms:modified xsi:type="dcterms:W3CDTF">2026-04-30T09:14:25Z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3B64AE3A1D98457DA3BCC900C847D76E_13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