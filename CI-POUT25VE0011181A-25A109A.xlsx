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<sst xmlns="http://schemas.openxmlformats.org/spreadsheetml/2006/main" count="39" uniqueCount="38">
  <si>
    <t xml:space="preserve"> GUANGDONG EVERSHINE GROUP CO.,LTD</t>
  </si>
  <si>
    <t>C-1052, QingFang Cheng, HaiZhu Qu, GuangZhou City, China.</t>
  </si>
  <si>
    <t>COMMERCIAL INVOICE</t>
  </si>
  <si>
    <t>P/I NO:D2026042401</t>
  </si>
  <si>
    <t xml:space="preserve">TEL: 17620031002                                              </t>
  </si>
  <si>
    <t>DATE: 2026/04/24</t>
  </si>
  <si>
    <t xml:space="preserve">FAX:    020-89777900                                           </t>
  </si>
  <si>
    <r>
      <rPr>
        <sz val="12"/>
        <color theme="1"/>
        <rFont val="Times New Roman"/>
        <charset val="134"/>
      </rPr>
      <t xml:space="preserve">SELLER: </t>
    </r>
    <r>
      <rPr>
        <b/>
        <sz val="12"/>
        <color theme="1"/>
        <rFont val="Times New Roman"/>
        <charset val="134"/>
      </rPr>
      <t>GUANGDONG EVERSHINE GROUP CO.,LTD</t>
    </r>
  </si>
  <si>
    <t>BUYER: AN LOI APPAREL COMPANY LIMITED</t>
  </si>
  <si>
    <t>102/6-3, Road No.2, Amata Industrial Park, Long Binh Ward, Dong Nai Province, Viet Nam</t>
  </si>
  <si>
    <t>THIS INVOICE IS MADE BY AND BETWEEN THE BUYER AND THE SELLER,
WHEREBY THE BUYER AGREE TO BUY AND SELLER AGREE TO SELL THE
UNDERMENTIONED COMMODITY ACCORDING TO THE TERMS AND CONDITIONS
STIPULATED AS BELOW:</t>
  </si>
  <si>
    <t>DESCRIPTION OF GOODS</t>
  </si>
  <si>
    <t>ITEM</t>
  </si>
  <si>
    <t>COLOR</t>
  </si>
  <si>
    <t>QUANTITY/KG</t>
  </si>
  <si>
    <t>PRICES/KG
(USD)FOB</t>
  </si>
  <si>
    <t>TOTAL AMOUNT:</t>
  </si>
  <si>
    <t>PO NO.:   POUT25VE0011181A                       
code:  E2500292_0002                          
ART NO.:TAUPE /#3
Knit fabric</t>
  </si>
  <si>
    <t>ITEM: 25A109A
COMP:  61.5%Acrylic 28.3%Viscose 5.5%Elastane 4.7%Cashmere                         
WEIGHT :270G        WIDTH :180cm                                       FINISH:  RN
COUNTRY OF ORIGIN:CHINA</t>
  </si>
  <si>
    <t>TAUPE</t>
  </si>
  <si>
    <t>PO NO.:    POUT25VE0011181A                      
code:E2500292_0002                             
ART NO.:THYME/#4
Knit fabric</t>
  </si>
  <si>
    <t>ITEM: 25A109A
COMP:  61.5%Acrylic 28.3%Viscose 5.5%Elastane 4.7%Cashmere                         
WEIGHT :270G        WIDTH :180cm                                              FINISH:  RN
COUNTRY OF ORIGIN:CHINA</t>
  </si>
  <si>
    <t>THYME</t>
  </si>
  <si>
    <t>PO NO.:  POUT25VE0011181A                        
code:  E2500292_0002                           
ART NO.:NAVY/#0
Knit fabric</t>
  </si>
  <si>
    <t>ITEM: 25A109A
COMP:  61.5%Acrylic 28.3%Viscose 5.5%Elastane 4.7%Cashmere                         
WEIGHT :270G        WIDTH :180cm                                             FINISH:  RN
COUNTRY OF ORIGIN:CHINA</t>
  </si>
  <si>
    <t>NAVY</t>
  </si>
  <si>
    <t>PO NO.:   POUT25VE0011181A                       
code: E2500292_0002                            
ART NO.:STEEL/#5
Knit fabric</t>
  </si>
  <si>
    <t>STEEL</t>
  </si>
  <si>
    <t>Advance payment</t>
  </si>
  <si>
    <t>Remaining payable amount</t>
  </si>
  <si>
    <r>
      <rPr>
        <sz val="12"/>
        <color theme="1"/>
        <rFont val="Times New Roman"/>
        <charset val="134"/>
      </rPr>
      <t>1.TERMS OF PAYMENT:</t>
    </r>
    <r>
      <rPr>
        <b/>
        <u/>
        <sz val="12"/>
        <color theme="1"/>
        <rFont val="Times New Roman"/>
        <charset val="134"/>
      </rPr>
      <t>30%  deposit and 70% T/T aginst B/L copy</t>
    </r>
  </si>
  <si>
    <t>2.PACKING: ROLL PACKING, ROLL LENGTH: AVERAGE 38 Yards</t>
  </si>
  <si>
    <r>
      <rPr>
        <sz val="12"/>
        <color theme="1"/>
        <rFont val="Times New Roman"/>
        <charset val="134"/>
      </rPr>
      <t>3. DELIVERY TIME:</t>
    </r>
    <r>
      <rPr>
        <b/>
        <u/>
        <sz val="12"/>
        <color theme="1"/>
        <rFont val="Times New Roman"/>
        <charset val="134"/>
      </rPr>
      <t>2026/04/06</t>
    </r>
  </si>
  <si>
    <t>4. SHIPMENT: Vessel</t>
  </si>
  <si>
    <r>
      <rPr>
        <sz val="12"/>
        <color theme="1"/>
        <rFont val="Times New Roman"/>
        <charset val="134"/>
      </rPr>
      <t xml:space="preserve">5.PORT OF LOADING: GUANGZHOU,CHINA.                  PORT OF DESTINATION: </t>
    </r>
    <r>
      <rPr>
        <sz val="12"/>
        <color rgb="FFFF0000"/>
        <rFont val="Times New Roman"/>
        <charset val="134"/>
      </rPr>
      <t>CatLai port (Ho chi Minh)</t>
    </r>
  </si>
  <si>
    <r>
      <rPr>
        <sz val="12"/>
        <color theme="1"/>
        <rFont val="Times New Roman"/>
        <charset val="134"/>
      </rPr>
      <t>6.QUANTITY AND AMOUNT:</t>
    </r>
    <r>
      <rPr>
        <u/>
        <sz val="12"/>
        <color theme="1"/>
        <rFont val="Times New Roman"/>
        <charset val="134"/>
      </rPr>
      <t xml:space="preserve"> ±</t>
    </r>
    <r>
      <rPr>
        <b/>
        <u/>
        <sz val="12"/>
        <color theme="1"/>
        <rFont val="Times New Roman"/>
        <charset val="134"/>
      </rPr>
      <t>3%  SHOULD BE ALLOWED.</t>
    </r>
  </si>
  <si>
    <r>
      <rPr>
        <sz val="14"/>
        <color theme="1"/>
        <rFont val="Times New Roman"/>
        <charset val="134"/>
      </rPr>
      <t>THE FOLLOWS ARE FOR ISSUING LC OR T/T REMITTANCE:
Beneficiary Bank Information for USD:
BENEFICIARY NAME: Guangdong Evershine Group Co.,Ltd
BANK NAME: CHINA CITIC BANK GUANGZHOU BRANCH
BANK ADDRESS:48/F</t>
    </r>
    <r>
      <rPr>
        <sz val="14"/>
        <color theme="1"/>
        <rFont val="宋体"/>
        <charset val="134"/>
      </rPr>
      <t>，</t>
    </r>
    <r>
      <rPr>
        <sz val="14"/>
        <color theme="1"/>
        <rFont val="Times New Roman"/>
        <charset val="134"/>
      </rPr>
      <t>CITIC Plaza, Tian He Bei 233, GuangZhou, PRC
BENEFICIARY ACCOUNT NUMBER:8110914013501858092
BENEFICIARY BANK SWIFT CODE: CIBKCNBJ510</t>
    </r>
  </si>
  <si>
    <t>Seller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</si>
</sst>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0.00;[Red][$$-409]#,##0.00"/>
    <numFmt numFmtId="177" formatCode="#,##0.00;[Red]#,##0.00"/>
  </numFmts>
  <fonts count="41">
    <font>
      <sz val="11"/>
      <color theme="1"/>
      <name val="等线"/>
      <charset val="134"/>
      <scheme val="minor"/>
    </font>
    <font>
      <sz val="12"/>
      <color theme="1"/>
      <name val="Times New Roman"/>
      <charset val="134"/>
    </font>
    <font>
      <b/>
      <sz val="9"/>
      <color rgb="FFFF0000"/>
      <name val="Times New Roman"/>
      <charset val="134"/>
    </font>
    <font>
      <b/>
      <sz val="11"/>
      <color theme="1"/>
      <name val="等线"/>
      <charset val="134"/>
      <scheme val="minor"/>
    </font>
    <font>
      <b/>
      <sz val="18"/>
      <color theme="1"/>
      <name val="Times New Roman"/>
      <charset val="134"/>
    </font>
    <font>
      <sz val="18"/>
      <color theme="1"/>
      <name val="等线"/>
      <charset val="134"/>
      <scheme val="minor"/>
    </font>
    <font>
      <b/>
      <sz val="12"/>
      <color theme="1"/>
      <name val="Times New Roman"/>
      <charset val="134"/>
    </font>
    <font>
      <b/>
      <sz val="12"/>
      <color theme="1"/>
      <name val="等线"/>
      <charset val="134"/>
      <scheme val="minor"/>
    </font>
    <font>
      <sz val="12"/>
      <color theme="1"/>
      <name val="等线"/>
      <charset val="134"/>
      <scheme val="minor"/>
    </font>
    <font>
      <b/>
      <i/>
      <sz val="14"/>
      <color rgb="FFFF0000"/>
      <name val="Times New Roman"/>
      <charset val="134"/>
    </font>
    <font>
      <b/>
      <sz val="12"/>
      <color rgb="FFFF0000"/>
      <name val="等线"/>
      <charset val="134"/>
      <scheme val="minor"/>
    </font>
    <font>
      <sz val="11"/>
      <color theme="1"/>
      <name val="Times New Roman"/>
      <charset val="134"/>
    </font>
    <font>
      <sz val="12"/>
      <color rgb="FFFF0000"/>
      <name val="Times New Roman"/>
      <charset val="134"/>
    </font>
    <font>
      <b/>
      <sz val="10"/>
      <color rgb="FFFF0000"/>
      <name val="Times New Roman"/>
      <charset val="134"/>
    </font>
    <font>
      <sz val="16"/>
      <color rgb="FFFF0000"/>
      <name val="Times New Roman"/>
      <charset val="134"/>
    </font>
    <font>
      <sz val="14"/>
      <color rgb="FFFF0000"/>
      <name val="Times New Roman"/>
      <charset val="134"/>
    </font>
    <font>
      <b/>
      <sz val="16"/>
      <color rgb="FFFF0000"/>
      <name val="Times New Roman"/>
      <charset val="134"/>
    </font>
    <font>
      <b/>
      <sz val="12"/>
      <color rgb="FFFF0000"/>
      <name val="Times New Roman"/>
      <charset val="134"/>
    </font>
    <font>
      <sz val="14"/>
      <color theme="1"/>
      <name val="Times New Roman"/>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u/>
      <sz val="12"/>
      <color theme="1"/>
      <name val="Times New Roman"/>
      <charset val="134"/>
    </font>
    <font>
      <b/>
      <u/>
      <sz val="12"/>
      <color theme="1"/>
      <name val="Times New Roman"/>
      <charset val="134"/>
    </font>
    <font>
      <sz val="14"/>
      <color theme="1"/>
      <name val="宋体"/>
      <charset val="134"/>
    </font>
  </fonts>
  <fills count="35">
    <fill>
      <patternFill patternType="none"/>
    </fill>
    <fill>
      <patternFill patternType="gray125"/>
    </fill>
    <fill>
      <patternFill patternType="solid">
        <fgColor theme="0"/>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0" fillId="4" borderId="9"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10" applyNumberFormat="0" applyFill="0" applyAlignment="0" applyProtection="0">
      <alignment vertical="center"/>
    </xf>
    <xf numFmtId="0" fontId="25" fillId="0" borderId="10" applyNumberFormat="0" applyFill="0" applyAlignment="0" applyProtection="0">
      <alignment vertical="center"/>
    </xf>
    <xf numFmtId="0" fontId="26" fillId="0" borderId="11" applyNumberFormat="0" applyFill="0" applyAlignment="0" applyProtection="0">
      <alignment vertical="center"/>
    </xf>
    <xf numFmtId="0" fontId="26" fillId="0" borderId="0" applyNumberFormat="0" applyFill="0" applyBorder="0" applyAlignment="0" applyProtection="0">
      <alignment vertical="center"/>
    </xf>
    <xf numFmtId="0" fontId="27" fillId="5" borderId="12" applyNumberFormat="0" applyAlignment="0" applyProtection="0">
      <alignment vertical="center"/>
    </xf>
    <xf numFmtId="0" fontId="28" fillId="6" borderId="13" applyNumberFormat="0" applyAlignment="0" applyProtection="0">
      <alignment vertical="center"/>
    </xf>
    <xf numFmtId="0" fontId="29" fillId="6" borderId="12" applyNumberFormat="0" applyAlignment="0" applyProtection="0">
      <alignment vertical="center"/>
    </xf>
    <xf numFmtId="0" fontId="30" fillId="7" borderId="14" applyNumberFormat="0" applyAlignment="0" applyProtection="0">
      <alignment vertical="center"/>
    </xf>
    <xf numFmtId="0" fontId="31" fillId="0" borderId="15" applyNumberFormat="0" applyFill="0" applyAlignment="0" applyProtection="0">
      <alignment vertical="center"/>
    </xf>
    <xf numFmtId="0" fontId="32" fillId="0" borderId="16" applyNumberFormat="0" applyFill="0" applyAlignment="0" applyProtection="0">
      <alignment vertical="center"/>
    </xf>
    <xf numFmtId="0" fontId="33" fillId="8" borderId="0" applyNumberFormat="0" applyBorder="0" applyAlignment="0" applyProtection="0">
      <alignment vertical="center"/>
    </xf>
    <xf numFmtId="0" fontId="34" fillId="9" borderId="0" applyNumberFormat="0" applyBorder="0" applyAlignment="0" applyProtection="0">
      <alignment vertical="center"/>
    </xf>
    <xf numFmtId="0" fontId="35" fillId="10" borderId="0" applyNumberFormat="0" applyBorder="0" applyAlignment="0" applyProtection="0">
      <alignment vertical="center"/>
    </xf>
    <xf numFmtId="0" fontId="36" fillId="11" borderId="0" applyNumberFormat="0" applyBorder="0" applyAlignment="0" applyProtection="0">
      <alignment vertical="center"/>
    </xf>
    <xf numFmtId="0" fontId="37" fillId="12" borderId="0" applyNumberFormat="0" applyBorder="0" applyAlignment="0" applyProtection="0">
      <alignment vertical="center"/>
    </xf>
    <xf numFmtId="0" fontId="37" fillId="13" borderId="0" applyNumberFormat="0" applyBorder="0" applyAlignment="0" applyProtection="0">
      <alignment vertical="center"/>
    </xf>
    <xf numFmtId="0" fontId="36" fillId="14" borderId="0" applyNumberFormat="0" applyBorder="0" applyAlignment="0" applyProtection="0">
      <alignment vertical="center"/>
    </xf>
    <xf numFmtId="0" fontId="36" fillId="15" borderId="0" applyNumberFormat="0" applyBorder="0" applyAlignment="0" applyProtection="0">
      <alignment vertical="center"/>
    </xf>
    <xf numFmtId="0" fontId="37" fillId="16" borderId="0" applyNumberFormat="0" applyBorder="0" applyAlignment="0" applyProtection="0">
      <alignment vertical="center"/>
    </xf>
    <xf numFmtId="0" fontId="37" fillId="17" borderId="0" applyNumberFormat="0" applyBorder="0" applyAlignment="0" applyProtection="0">
      <alignment vertical="center"/>
    </xf>
    <xf numFmtId="0" fontId="36" fillId="18" borderId="0" applyNumberFormat="0" applyBorder="0" applyAlignment="0" applyProtection="0">
      <alignment vertical="center"/>
    </xf>
    <xf numFmtId="0" fontId="36" fillId="19" borderId="0" applyNumberFormat="0" applyBorder="0" applyAlignment="0" applyProtection="0">
      <alignment vertical="center"/>
    </xf>
    <xf numFmtId="0" fontId="37" fillId="20" borderId="0" applyNumberFormat="0" applyBorder="0" applyAlignment="0" applyProtection="0">
      <alignment vertical="center"/>
    </xf>
    <xf numFmtId="0" fontId="37" fillId="21" borderId="0" applyNumberFormat="0" applyBorder="0" applyAlignment="0" applyProtection="0">
      <alignment vertical="center"/>
    </xf>
    <xf numFmtId="0" fontId="36" fillId="22" borderId="0" applyNumberFormat="0" applyBorder="0" applyAlignment="0" applyProtection="0">
      <alignment vertical="center"/>
    </xf>
    <xf numFmtId="0" fontId="36" fillId="23" borderId="0" applyNumberFormat="0" applyBorder="0" applyAlignment="0" applyProtection="0">
      <alignment vertical="center"/>
    </xf>
    <xf numFmtId="0" fontId="37" fillId="24" borderId="0" applyNumberFormat="0" applyBorder="0" applyAlignment="0" applyProtection="0">
      <alignment vertical="center"/>
    </xf>
    <xf numFmtId="0" fontId="37" fillId="25" borderId="0" applyNumberFormat="0" applyBorder="0" applyAlignment="0" applyProtection="0">
      <alignment vertical="center"/>
    </xf>
    <xf numFmtId="0" fontId="36" fillId="26" borderId="0" applyNumberFormat="0" applyBorder="0" applyAlignment="0" applyProtection="0">
      <alignment vertical="center"/>
    </xf>
    <xf numFmtId="0" fontId="36" fillId="27" borderId="0" applyNumberFormat="0" applyBorder="0" applyAlignment="0" applyProtection="0">
      <alignment vertical="center"/>
    </xf>
    <xf numFmtId="0" fontId="37" fillId="28" borderId="0" applyNumberFormat="0" applyBorder="0" applyAlignment="0" applyProtection="0">
      <alignment vertical="center"/>
    </xf>
    <xf numFmtId="0" fontId="37" fillId="29" borderId="0" applyNumberFormat="0" applyBorder="0" applyAlignment="0" applyProtection="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6" fillId="34" borderId="0" applyNumberFormat="0" applyBorder="0" applyAlignment="0" applyProtection="0">
      <alignment vertical="center"/>
    </xf>
  </cellStyleXfs>
  <cellXfs count="51">
    <xf numFmtId="0" fontId="0" fillId="0" borderId="0" xfId="0"/>
    <xf numFmtId="0" fontId="0" fillId="0" borderId="0" xfId="0" applyAlignment="1">
      <alignment vertical="center"/>
    </xf>
    <xf numFmtId="0" fontId="1" fillId="0" borderId="0" xfId="0" applyFont="1"/>
    <xf numFmtId="0" fontId="2"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3" fillId="0" borderId="0" xfId="0" applyFont="1"/>
    <xf numFmtId="176" fontId="0" fillId="0" borderId="0" xfId="0" applyNumberFormat="1"/>
    <xf numFmtId="0" fontId="4"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176" fontId="11" fillId="0" borderId="0" xfId="0" applyNumberFormat="1" applyFont="1"/>
    <xf numFmtId="0" fontId="1" fillId="0" borderId="0" xfId="0" applyFont="1" applyAlignment="1">
      <alignment horizontal="left"/>
    </xf>
    <xf numFmtId="176" fontId="1" fillId="0" borderId="0" xfId="0" applyNumberFormat="1" applyFont="1"/>
    <xf numFmtId="176" fontId="1" fillId="0" borderId="0" xfId="0" applyNumberFormat="1" applyFont="1" applyAlignment="1">
      <alignment horizontal="left"/>
    </xf>
    <xf numFmtId="0" fontId="12" fillId="0" borderId="0" xfId="0" applyFont="1" applyAlignment="1">
      <alignment horizontal="left"/>
    </xf>
    <xf numFmtId="0" fontId="1" fillId="0" borderId="0" xfId="0" applyFont="1" applyAlignment="1">
      <alignment horizontal="left" vertical="center" wrapText="1"/>
    </xf>
    <xf numFmtId="0" fontId="1" fillId="0" borderId="0" xfId="0" applyFont="1" applyAlignment="1">
      <alignment wrapText="1"/>
    </xf>
    <xf numFmtId="0" fontId="13" fillId="0" borderId="1" xfId="0" applyFont="1" applyBorder="1" applyAlignment="1">
      <alignment horizontal="center" vertical="center" wrapText="1"/>
    </xf>
    <xf numFmtId="0" fontId="13" fillId="0" borderId="1" xfId="0" applyFont="1" applyBorder="1" applyAlignment="1">
      <alignment horizontal="center" vertical="center"/>
    </xf>
    <xf numFmtId="176" fontId="13" fillId="0" borderId="1" xfId="0" applyNumberFormat="1" applyFont="1" applyBorder="1" applyAlignment="1">
      <alignment horizontal="center" vertical="center"/>
    </xf>
    <xf numFmtId="176" fontId="13" fillId="2" borderId="1" xfId="0" applyNumberFormat="1" applyFont="1" applyFill="1" applyBorder="1" applyAlignment="1">
      <alignment horizontal="center" vertical="center" wrapText="1"/>
    </xf>
    <xf numFmtId="176" fontId="13" fillId="2" borderId="2" xfId="0" applyNumberFormat="1" applyFont="1" applyFill="1" applyBorder="1" applyAlignment="1">
      <alignment horizontal="center" vertical="center"/>
    </xf>
    <xf numFmtId="0" fontId="1" fillId="0" borderId="2" xfId="0" applyFont="1" applyBorder="1" applyAlignment="1">
      <alignment horizontal="left"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xf>
    <xf numFmtId="177" fontId="1" fillId="0" borderId="2" xfId="0" applyNumberFormat="1" applyFont="1" applyBorder="1" applyAlignment="1">
      <alignment horizontal="center" vertical="center"/>
    </xf>
    <xf numFmtId="176" fontId="1" fillId="2" borderId="2" xfId="0" applyNumberFormat="1" applyFont="1" applyFill="1" applyBorder="1" applyAlignment="1">
      <alignment horizontal="center" vertical="center"/>
    </xf>
    <xf numFmtId="0" fontId="14" fillId="0" borderId="2"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2" xfId="0" applyFont="1" applyFill="1" applyBorder="1" applyAlignment="1">
      <alignment horizontal="center" vertical="center" wrapText="1"/>
    </xf>
    <xf numFmtId="0" fontId="16" fillId="0" borderId="3" xfId="0" applyFont="1" applyBorder="1" applyAlignment="1">
      <alignment horizontal="center" vertical="center"/>
    </xf>
    <xf numFmtId="0" fontId="16" fillId="0" borderId="4" xfId="0" applyFont="1" applyBorder="1" applyAlignment="1">
      <alignment horizontal="center" vertical="center"/>
    </xf>
    <xf numFmtId="176" fontId="17" fillId="3" borderId="3" xfId="0" applyNumberFormat="1" applyFont="1" applyFill="1" applyBorder="1" applyAlignment="1">
      <alignment horizontal="center" vertical="center"/>
    </xf>
    <xf numFmtId="176" fontId="17" fillId="3" borderId="5" xfId="0" applyNumberFormat="1" applyFont="1" applyFill="1" applyBorder="1" applyAlignment="1">
      <alignment horizontal="center" vertical="center"/>
    </xf>
    <xf numFmtId="176" fontId="17" fillId="3" borderId="4" xfId="0" applyNumberFormat="1" applyFont="1" applyFill="1" applyBorder="1" applyAlignment="1">
      <alignment horizontal="center" vertical="center"/>
    </xf>
    <xf numFmtId="0" fontId="16" fillId="0" borderId="0" xfId="0" applyFont="1" applyAlignment="1">
      <alignment horizontal="center" vertical="center"/>
    </xf>
    <xf numFmtId="0" fontId="1" fillId="0" borderId="0" xfId="0" applyFont="1" applyBorder="1" applyAlignment="1">
      <alignment horizontal="center" vertical="center"/>
    </xf>
    <xf numFmtId="177" fontId="1" fillId="0" borderId="0" xfId="0" applyNumberFormat="1" applyFont="1" applyBorder="1" applyAlignment="1">
      <alignment horizontal="center" vertical="center"/>
    </xf>
    <xf numFmtId="176" fontId="1" fillId="0" borderId="0" xfId="0" applyNumberFormat="1" applyFont="1" applyBorder="1" applyAlignment="1">
      <alignment horizontal="center"/>
    </xf>
    <xf numFmtId="176" fontId="1" fillId="0" borderId="0" xfId="0" applyNumberFormat="1" applyFont="1" applyAlignment="1">
      <alignment horizontal="left" vertical="center"/>
    </xf>
    <xf numFmtId="0" fontId="18" fillId="0" borderId="6" xfId="0" applyFont="1" applyBorder="1" applyAlignment="1">
      <alignment horizontal="left" vertical="center" wrapText="1"/>
    </xf>
    <xf numFmtId="0" fontId="18" fillId="0" borderId="7" xfId="0" applyFont="1" applyBorder="1" applyAlignment="1">
      <alignment horizontal="left" vertical="center" wrapText="1"/>
    </xf>
    <xf numFmtId="0" fontId="18" fillId="0" borderId="8" xfId="0" applyFont="1" applyBorder="1" applyAlignment="1">
      <alignment horizontal="left" vertical="center" wrapText="1"/>
    </xf>
    <xf numFmtId="0" fontId="18" fillId="0" borderId="0" xfId="0" applyFont="1" applyAlignment="1">
      <alignment horizontal="left" vertical="center" wrapText="1"/>
    </xf>
    <xf numFmtId="176" fontId="3" fillId="0" borderId="0" xfId="0" applyNumberFormat="1" applyFont="1"/>
    <xf numFmtId="176" fontId="0" fillId="0" borderId="0" xfId="0" applyNumberFormat="1"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438151</xdr:colOff>
      <xdr:row>34</xdr:row>
      <xdr:rowOff>76199</xdr:rowOff>
    </xdr:from>
    <xdr:to>
      <xdr:col>1</xdr:col>
      <xdr:colOff>196654</xdr:colOff>
      <xdr:row>44</xdr:row>
      <xdr:rowOff>171795</xdr:rowOff>
    </xdr:to>
    <xdr:pic>
      <xdr:nvPicPr>
        <xdr:cNvPr id="3" name="Picture 2"/>
        <xdr:cNvPicPr>
          <a:picLocks noChangeAspect="1"/>
        </xdr:cNvPicPr>
      </xdr:nvPicPr>
      <xdr:blipFill>
        <a:blip r:embed="rId1"/>
        <a:stretch>
          <a:fillRect/>
        </a:stretch>
      </xdr:blipFill>
      <xdr:spPr>
        <a:xfrm>
          <a:off x="438150" y="18740755"/>
          <a:ext cx="2339340" cy="19056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4"/>
  <sheetViews>
    <sheetView tabSelected="1" zoomScale="80" zoomScaleNormal="80" workbookViewId="0">
      <selection activeCell="G14" sqref="G14"/>
    </sheetView>
  </sheetViews>
  <sheetFormatPr defaultColWidth="9" defaultRowHeight="14.25"/>
  <cols>
    <col min="1" max="1" width="33.875" customWidth="1"/>
    <col min="2" max="2" width="36.4083333333333" customWidth="1"/>
    <col min="3" max="3" width="14.125" customWidth="1"/>
    <col min="4" max="4" width="15.625" style="7" customWidth="1"/>
    <col min="5" max="5" width="12.625" style="7" customWidth="1"/>
    <col min="6" max="6" width="19.0583333333333" style="7" customWidth="1"/>
    <col min="7" max="7" width="9.5" customWidth="1"/>
  </cols>
  <sheetData>
    <row r="1" s="1" customFormat="1" ht="35.1" customHeight="1" spans="1:11">
      <c r="A1" s="8" t="s">
        <v>0</v>
      </c>
      <c r="B1" s="9"/>
      <c r="C1" s="9"/>
      <c r="D1" s="9"/>
      <c r="E1" s="9"/>
      <c r="F1" s="9"/>
    </row>
    <row r="2" ht="21" customHeight="1" spans="1:11">
      <c r="A2" s="10" t="s">
        <v>1</v>
      </c>
      <c r="B2" s="11"/>
      <c r="C2" s="11"/>
      <c r="D2" s="11"/>
      <c r="E2" s="11"/>
      <c r="F2" s="11"/>
    </row>
    <row r="3" ht="15.75" spans="1:11">
      <c r="A3" s="4"/>
      <c r="B3" s="12"/>
      <c r="C3" s="12"/>
      <c r="D3" s="12"/>
      <c r="E3" s="12"/>
      <c r="F3" s="12"/>
    </row>
    <row r="4" ht="18.75" spans="1:11">
      <c r="A4" s="13" t="s">
        <v>2</v>
      </c>
      <c r="B4" s="14"/>
      <c r="C4" s="14"/>
      <c r="D4" s="14"/>
      <c r="E4" s="14"/>
      <c r="F4" s="12"/>
    </row>
    <row r="5" ht="15" spans="1:11">
      <c r="F5" s="15" t="s">
        <v>3</v>
      </c>
    </row>
    <row r="6" s="2" customFormat="1" ht="15.75" spans="1:11">
      <c r="A6" s="16" t="s">
        <v>4</v>
      </c>
      <c r="B6" s="16"/>
      <c r="F6" s="17" t="s">
        <v>5</v>
      </c>
    </row>
    <row r="7" s="2" customFormat="1" ht="15.75" spans="1:11">
      <c r="A7" s="16" t="s">
        <v>6</v>
      </c>
      <c r="B7" s="16"/>
      <c r="D7" s="17"/>
      <c r="E7" s="18"/>
      <c r="F7" s="18"/>
    </row>
    <row r="8" s="2" customFormat="1" ht="15.75" spans="1:11">
      <c r="D8" s="17"/>
      <c r="E8" s="17"/>
      <c r="F8" s="17"/>
    </row>
    <row r="9" s="2" customFormat="1" ht="15.75" spans="1:11">
      <c r="A9" s="16" t="s">
        <v>7</v>
      </c>
      <c r="B9" s="16"/>
      <c r="C9" s="16"/>
      <c r="D9" s="16"/>
      <c r="E9" s="16"/>
      <c r="F9" s="16"/>
    </row>
    <row r="10" s="2" customFormat="1" ht="6.75" customHeight="1" spans="1:11">
      <c r="A10" s="16"/>
      <c r="B10" s="16"/>
      <c r="C10" s="16"/>
      <c r="D10" s="16"/>
      <c r="E10" s="16"/>
      <c r="F10" s="16"/>
    </row>
    <row r="11" s="2" customFormat="1" ht="15.75" spans="1:11">
      <c r="A11" s="16" t="s">
        <v>8</v>
      </c>
      <c r="B11" s="16"/>
      <c r="C11" s="16"/>
      <c r="D11" s="16"/>
      <c r="E11" s="16"/>
      <c r="F11" s="16"/>
    </row>
    <row r="12" s="2" customFormat="1" ht="15.75" spans="1:11">
      <c r="A12" s="19" t="s">
        <v>9</v>
      </c>
      <c r="B12" s="16"/>
      <c r="C12" s="16"/>
      <c r="D12" s="16"/>
      <c r="E12" s="16"/>
      <c r="F12" s="16"/>
    </row>
    <row r="13" s="2" customFormat="1" ht="12" customHeight="1" spans="1:11">
      <c r="D13" s="17"/>
      <c r="E13" s="17"/>
      <c r="F13" s="17"/>
    </row>
    <row r="14" s="2" customFormat="1" ht="72" customHeight="1" spans="1:11">
      <c r="A14" s="20" t="s">
        <v>10</v>
      </c>
      <c r="B14" s="20"/>
      <c r="C14" s="20"/>
      <c r="D14" s="20"/>
      <c r="E14" s="20"/>
      <c r="F14" s="20"/>
      <c r="G14" s="21"/>
      <c r="H14" s="21"/>
      <c r="I14" s="21"/>
      <c r="J14" s="21"/>
      <c r="K14" s="21"/>
    </row>
    <row r="15" s="2" customFormat="1" ht="9" customHeight="1" spans="1:11">
      <c r="D15" s="17"/>
      <c r="E15" s="17"/>
      <c r="F15" s="17"/>
    </row>
    <row r="16" s="3" customFormat="1" ht="25.5" spans="1:11">
      <c r="A16" s="22" t="s">
        <v>11</v>
      </c>
      <c r="B16" s="22" t="s">
        <v>12</v>
      </c>
      <c r="C16" s="23" t="s">
        <v>13</v>
      </c>
      <c r="D16" s="24" t="s">
        <v>14</v>
      </c>
      <c r="E16" s="25" t="s">
        <v>15</v>
      </c>
      <c r="F16" s="26" t="s">
        <v>16</v>
      </c>
    </row>
    <row r="17" s="4" customFormat="1" ht="131" customHeight="1" spans="1:8">
      <c r="A17" s="27" t="s">
        <v>17</v>
      </c>
      <c r="B17" s="28" t="s">
        <v>18</v>
      </c>
      <c r="C17" s="29" t="s">
        <v>19</v>
      </c>
      <c r="D17" s="30">
        <v>560.1</v>
      </c>
      <c r="E17" s="31">
        <v>18.2</v>
      </c>
      <c r="F17" s="31">
        <f t="shared" ref="F17:F20" si="0">D17*E17</f>
        <v>10193.82</v>
      </c>
    </row>
    <row r="18" s="4" customFormat="1" ht="131" customHeight="1" spans="1:8">
      <c r="A18" s="27" t="s">
        <v>20</v>
      </c>
      <c r="B18" s="28" t="s">
        <v>21</v>
      </c>
      <c r="C18" s="29" t="s">
        <v>22</v>
      </c>
      <c r="D18" s="30">
        <v>454.8</v>
      </c>
      <c r="E18" s="31">
        <v>18.2</v>
      </c>
      <c r="F18" s="31">
        <f t="shared" si="0"/>
        <v>8277.36</v>
      </c>
    </row>
    <row r="19" s="4" customFormat="1" ht="131" customHeight="1" spans="1:8">
      <c r="A19" s="27" t="s">
        <v>23</v>
      </c>
      <c r="B19" s="28" t="s">
        <v>24</v>
      </c>
      <c r="C19" s="29" t="s">
        <v>25</v>
      </c>
      <c r="D19" s="30">
        <v>650.6</v>
      </c>
      <c r="E19" s="31">
        <v>18.2</v>
      </c>
      <c r="F19" s="31">
        <f t="shared" si="0"/>
        <v>11840.92</v>
      </c>
    </row>
    <row r="20" s="4" customFormat="1" ht="131" customHeight="1" spans="1:8">
      <c r="A20" s="27" t="s">
        <v>26</v>
      </c>
      <c r="B20" s="28" t="s">
        <v>24</v>
      </c>
      <c r="C20" s="29" t="s">
        <v>27</v>
      </c>
      <c r="D20" s="30">
        <v>44</v>
      </c>
      <c r="E20" s="31">
        <v>18.2</v>
      </c>
      <c r="F20" s="31">
        <f t="shared" si="0"/>
        <v>800.8</v>
      </c>
    </row>
    <row r="21" s="4" customFormat="1" ht="55" customHeight="1" spans="1:8">
      <c r="A21" s="32" t="s">
        <v>28</v>
      </c>
      <c r="B21" s="32"/>
      <c r="C21" s="32"/>
      <c r="D21" s="33">
        <v>8962.34</v>
      </c>
      <c r="E21" s="34"/>
      <c r="F21" s="34"/>
    </row>
    <row r="22" s="2" customFormat="1" ht="30.75" customHeight="1" spans="1:8">
      <c r="A22" s="35" t="s">
        <v>29</v>
      </c>
      <c r="B22" s="36"/>
      <c r="C22" s="37">
        <f>F17+F18+F19+F20-D21</f>
        <v>22150.56</v>
      </c>
      <c r="D22" s="38"/>
      <c r="E22" s="38"/>
      <c r="F22" s="39"/>
    </row>
    <row r="23" s="2" customFormat="1" ht="30.75" customHeight="1" spans="1:8">
      <c r="A23" s="40"/>
      <c r="B23" s="40"/>
      <c r="C23" s="41"/>
      <c r="D23" s="42"/>
      <c r="E23"/>
      <c r="F23"/>
      <c r="G23" s="17"/>
    </row>
    <row r="24" s="2" customFormat="1" ht="27" customHeight="1" spans="1:8">
      <c r="C24" s="43"/>
      <c r="D24" s="43"/>
      <c r="E24"/>
      <c r="F24"/>
      <c r="G24"/>
      <c r="H24"/>
    </row>
    <row r="26" s="5" customFormat="1" ht="27" customHeight="1" spans="1:8">
      <c r="A26" s="5" t="s">
        <v>30</v>
      </c>
      <c r="D26" s="44"/>
      <c r="E26" s="44"/>
      <c r="F26" s="44"/>
    </row>
    <row r="27" s="5" customFormat="1" ht="27" customHeight="1" spans="1:8">
      <c r="A27" s="5" t="s">
        <v>31</v>
      </c>
      <c r="D27" s="44"/>
      <c r="E27" s="44"/>
      <c r="F27" s="44"/>
    </row>
    <row r="28" s="5" customFormat="1" ht="27" customHeight="1" spans="1:8">
      <c r="A28" s="5" t="s">
        <v>32</v>
      </c>
      <c r="D28" s="44"/>
      <c r="E28" s="44"/>
      <c r="F28" s="44"/>
    </row>
    <row r="29" s="5" customFormat="1" ht="27" customHeight="1" spans="1:8">
      <c r="A29" s="5" t="s">
        <v>33</v>
      </c>
      <c r="D29" s="44"/>
      <c r="E29" s="44"/>
      <c r="F29" s="44"/>
    </row>
    <row r="30" s="5" customFormat="1" ht="27" customHeight="1" spans="1:8">
      <c r="A30" s="5" t="s">
        <v>34</v>
      </c>
      <c r="D30" s="44"/>
      <c r="E30" s="44"/>
      <c r="F30" s="44"/>
    </row>
    <row r="31" s="5" customFormat="1" ht="27" customHeight="1" spans="1:8">
      <c r="A31" s="5" t="s">
        <v>35</v>
      </c>
      <c r="D31" s="44"/>
      <c r="E31" s="44"/>
      <c r="F31" s="44"/>
    </row>
    <row r="32" s="5" customFormat="1" ht="27" customHeight="1" spans="1:8">
      <c r="D32" s="44"/>
      <c r="E32" s="44"/>
      <c r="F32" s="44"/>
    </row>
    <row r="34" ht="259.35" customHeight="1" spans="1:6">
      <c r="A34" s="45" t="s">
        <v>36</v>
      </c>
      <c r="B34" s="46"/>
      <c r="C34" s="46"/>
      <c r="D34" s="46"/>
      <c r="E34" s="47"/>
      <c r="F34" s="48"/>
    </row>
    <row r="35" s="6" customFormat="1" spans="1:6">
      <c r="A35" s="6" t="s">
        <v>37</v>
      </c>
      <c r="D35" s="49"/>
      <c r="E35" s="49"/>
      <c r="F35" s="49"/>
    </row>
    <row r="44" spans="1:6">
      <c r="E44" s="50"/>
      <c r="F44" s="50"/>
    </row>
  </sheetData>
  <mergeCells count="14">
    <mergeCell ref="A1:E1"/>
    <mergeCell ref="A2:E2"/>
    <mergeCell ref="A4:E4"/>
    <mergeCell ref="A6:B6"/>
    <mergeCell ref="A7:B7"/>
    <mergeCell ref="A9:E9"/>
    <mergeCell ref="A11:E11"/>
    <mergeCell ref="A12:E12"/>
    <mergeCell ref="A14:E14"/>
    <mergeCell ref="A21:C21"/>
    <mergeCell ref="D21:F21"/>
    <mergeCell ref="A22:B22"/>
    <mergeCell ref="C22:F22"/>
    <mergeCell ref="A34:E34"/>
  </mergeCells>
  <pageMargins left="0" right="0" top="0.590277777777778" bottom="0" header="0.298611111111111" footer="0.298611111111111"/>
  <pageSetup paperSize="9" scale="70"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Taew</cp:lastModifiedBy>
  <dcterms:created xsi:type="dcterms:W3CDTF">2025-07-18T04:17:00Z</dcterms:created>
  <dcterms:modified xsi:type="dcterms:W3CDTF">2026-04-24T05:41:00Z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413333EAB6E44D1B8DE55C0281CD5112_13</vt:lpwstr>
  </property>
  <property fmtid="{D5CDD505-2E9C-101B-9397-08002B2CF9AE}" pid="3" name="KSOProductBuildVer">
    <vt:lpwstr>2052-12.1.0.25865</vt:lpwstr>
  </property>
  <property fmtid="{D5CDD505-2E9C-101B-9397-08002B2CF9AE}" pid="4" name="CalculationRule">
    <vt:i4>0</vt:i4>
  </property>
</Properties>
</file>